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405" yWindow="-195" windowWidth="24675" windowHeight="12045" firstSheet="1" activeTab="1"/>
  </bookViews>
  <sheets>
    <sheet name="__FDSCACHE__" sheetId="20" state="veryHidden" r:id="rId1"/>
    <sheet name="Cover Sheet" sheetId="5" r:id="rId2"/>
    <sheet name="FB Income Statement " sheetId="1" r:id="rId3"/>
    <sheet name="Valuation" sheetId="7" r:id="rId4"/>
    <sheet name="DCF" sheetId="6" r:id="rId5"/>
    <sheet name="IS FCST DATA" sheetId="4" state="hidden" r:id="rId6"/>
    <sheet name="CF FCST DATA" sheetId="13" state="hidden" r:id="rId7"/>
    <sheet name="USE OF CASH FCST DATA" sheetId="14" state="hidden" r:id="rId8"/>
    <sheet name="Ratio Analysis" sheetId="18" state="hidden" r:id="rId9"/>
  </sheets>
  <calcPr calcId="125725"/>
</workbook>
</file>

<file path=xl/calcChain.xml><?xml version="1.0" encoding="utf-8"?>
<calcChain xmlns="http://schemas.openxmlformats.org/spreadsheetml/2006/main">
  <c r="E6" i="7"/>
  <c r="I9" i="6"/>
  <c r="J9"/>
  <c r="H9"/>
  <c r="L10" i="14"/>
  <c r="M10" s="1"/>
  <c r="K10"/>
  <c r="F59" i="1"/>
  <c r="K8" i="14"/>
  <c r="L8" s="1"/>
  <c r="M8" s="1"/>
  <c r="O39"/>
  <c r="P39"/>
  <c r="P38"/>
  <c r="O38"/>
  <c r="H39"/>
  <c r="I39"/>
  <c r="J39"/>
  <c r="G39"/>
  <c r="H38"/>
  <c r="I38"/>
  <c r="J38"/>
  <c r="G38"/>
  <c r="I5" i="6"/>
  <c r="J5"/>
  <c r="H5"/>
  <c r="I4"/>
  <c r="J4"/>
  <c r="J6" s="1"/>
  <c r="H4"/>
  <c r="H6" s="1"/>
  <c r="H7" s="1"/>
  <c r="H8" s="1"/>
  <c r="C8" i="7"/>
  <c r="K24" i="6"/>
  <c r="K23"/>
  <c r="K22"/>
  <c r="K21"/>
  <c r="C18" i="1"/>
  <c r="D18"/>
  <c r="E18"/>
  <c r="F18"/>
  <c r="C83"/>
  <c r="D83"/>
  <c r="E83"/>
  <c r="F83"/>
  <c r="G83"/>
  <c r="H83"/>
  <c r="I83"/>
  <c r="K81"/>
  <c r="L81"/>
  <c r="K82"/>
  <c r="L82"/>
  <c r="L80"/>
  <c r="K80"/>
  <c r="C82"/>
  <c r="D82"/>
  <c r="E82"/>
  <c r="F82"/>
  <c r="B82"/>
  <c r="C81"/>
  <c r="D81"/>
  <c r="E81"/>
  <c r="F81"/>
  <c r="B81"/>
  <c r="C80"/>
  <c r="D80"/>
  <c r="E80"/>
  <c r="F80"/>
  <c r="B80"/>
  <c r="B83" s="1"/>
  <c r="B18"/>
  <c r="C79"/>
  <c r="G79"/>
  <c r="H79"/>
  <c r="I79"/>
  <c r="G6"/>
  <c r="G14" s="1"/>
  <c r="B13"/>
  <c r="C13"/>
  <c r="D13"/>
  <c r="E13"/>
  <c r="F13"/>
  <c r="G19"/>
  <c r="H19"/>
  <c r="I19"/>
  <c r="G20"/>
  <c r="H20"/>
  <c r="I20"/>
  <c r="G21"/>
  <c r="H21"/>
  <c r="I21"/>
  <c r="G22"/>
  <c r="H22"/>
  <c r="I22"/>
  <c r="G23"/>
  <c r="H23"/>
  <c r="I23"/>
  <c r="G24"/>
  <c r="H24"/>
  <c r="I24"/>
  <c r="G25"/>
  <c r="H25"/>
  <c r="I25"/>
  <c r="G26"/>
  <c r="H26"/>
  <c r="I26"/>
  <c r="G51"/>
  <c r="H51" s="1"/>
  <c r="I51" s="1"/>
  <c r="G52"/>
  <c r="H52" s="1"/>
  <c r="I52" s="1"/>
  <c r="E8" i="7" s="1"/>
  <c r="C73" i="1"/>
  <c r="L73" s="1"/>
  <c r="D73"/>
  <c r="E73"/>
  <c r="F73"/>
  <c r="B76"/>
  <c r="C76"/>
  <c r="D76"/>
  <c r="E76"/>
  <c r="F76"/>
  <c r="B77"/>
  <c r="B79" s="1"/>
  <c r="C77"/>
  <c r="D77"/>
  <c r="E77"/>
  <c r="F77"/>
  <c r="B78"/>
  <c r="C78"/>
  <c r="D78"/>
  <c r="D79" s="1"/>
  <c r="E78"/>
  <c r="E79" s="1"/>
  <c r="F78"/>
  <c r="A86"/>
  <c r="B86"/>
  <c r="K86" s="1"/>
  <c r="C86"/>
  <c r="D86"/>
  <c r="E86"/>
  <c r="F86"/>
  <c r="L86"/>
  <c r="A87"/>
  <c r="B87"/>
  <c r="K87" s="1"/>
  <c r="C87"/>
  <c r="D87"/>
  <c r="E87"/>
  <c r="F87"/>
  <c r="A88"/>
  <c r="B88"/>
  <c r="K88" s="1"/>
  <c r="C88"/>
  <c r="D88"/>
  <c r="E88"/>
  <c r="F88"/>
  <c r="C90"/>
  <c r="D90"/>
  <c r="E90"/>
  <c r="F90"/>
  <c r="C91"/>
  <c r="D91"/>
  <c r="E91"/>
  <c r="F91"/>
  <c r="E7" i="7" l="1"/>
  <c r="E15" s="1"/>
  <c r="E16" s="1"/>
  <c r="E18" s="1"/>
  <c r="E19" s="1"/>
  <c r="D6"/>
  <c r="D8"/>
  <c r="I6" i="6"/>
  <c r="I7" s="1"/>
  <c r="J7"/>
  <c r="J8" s="1"/>
  <c r="G17" i="1"/>
  <c r="E16" i="6"/>
  <c r="G9" i="1"/>
  <c r="G16"/>
  <c r="G15"/>
  <c r="D59"/>
  <c r="F79"/>
  <c r="L76"/>
  <c r="G8"/>
  <c r="L91"/>
  <c r="L88"/>
  <c r="H6"/>
  <c r="I6" s="1"/>
  <c r="L90"/>
  <c r="L87"/>
  <c r="D84"/>
  <c r="L78"/>
  <c r="F36"/>
  <c r="K77"/>
  <c r="D36"/>
  <c r="E84"/>
  <c r="E36"/>
  <c r="E59"/>
  <c r="B36"/>
  <c r="B59"/>
  <c r="B84"/>
  <c r="C36"/>
  <c r="C59"/>
  <c r="C84"/>
  <c r="K91"/>
  <c r="F84"/>
  <c r="K78"/>
  <c r="K90"/>
  <c r="L77"/>
  <c r="K76"/>
  <c r="K73"/>
  <c r="D7" i="7" l="1"/>
  <c r="I8" i="6"/>
  <c r="I17" i="1"/>
  <c r="I15"/>
  <c r="I16"/>
  <c r="H8"/>
  <c r="H17"/>
  <c r="H15"/>
  <c r="H16"/>
  <c r="H9"/>
  <c r="G7"/>
  <c r="G13" s="1"/>
  <c r="L79"/>
  <c r="K79"/>
  <c r="H14"/>
  <c r="F37"/>
  <c r="F45" s="1"/>
  <c r="F47" s="1"/>
  <c r="D37"/>
  <c r="D45" s="1"/>
  <c r="D47" s="1"/>
  <c r="L83"/>
  <c r="K83"/>
  <c r="C37"/>
  <c r="C45" s="1"/>
  <c r="C47" s="1"/>
  <c r="E37"/>
  <c r="E45" s="1"/>
  <c r="E47" s="1"/>
  <c r="B37"/>
  <c r="B45" s="1"/>
  <c r="B47" s="1"/>
  <c r="I14"/>
  <c r="I8"/>
  <c r="I9"/>
  <c r="K84"/>
  <c r="L84"/>
  <c r="H7" l="1"/>
  <c r="H13" s="1"/>
  <c r="H18" s="1"/>
  <c r="H59" s="1"/>
  <c r="G18"/>
  <c r="I7"/>
  <c r="I13" s="1"/>
  <c r="I18" s="1"/>
  <c r="H84" l="1"/>
  <c r="H36"/>
  <c r="H37" s="1"/>
  <c r="H45" s="1"/>
  <c r="H47" s="1"/>
  <c r="G36"/>
  <c r="G37" s="1"/>
  <c r="G45" s="1"/>
  <c r="G47" s="1"/>
  <c r="G59"/>
  <c r="G84"/>
  <c r="I36"/>
  <c r="I84"/>
  <c r="I59"/>
  <c r="I37" l="1"/>
  <c r="I45" s="1"/>
  <c r="I47" s="1"/>
</calcChain>
</file>

<file path=xl/comments1.xml><?xml version="1.0" encoding="utf-8"?>
<comments xmlns="http://schemas.openxmlformats.org/spreadsheetml/2006/main">
  <authors>
    <author>Robert Sheehan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Version="1"&gt;&lt;FQL&gt;&lt;Q&gt;^SPAR_BETA("","SPN:SP50.R",0/0/-3 ,-1/31/0,M,LOCAL,1)&lt;/Q&gt;&lt;R&gt;1&lt;/R&gt;&lt;C&gt;1&lt;/C&gt;&lt;D xsi:type="xsd:string"&gt;#NUM&lt;/D&gt;&lt;/FQL&gt;&lt;FQL&gt;&lt;Q&gt;^SPAR_BETA("FB","SPN:SP50.R",0/0/-3 ,-1/31/0,M,LOCAL,1)&lt;/Q&gt;&lt;R&gt;1&lt;/R&gt;&lt;C&gt;1&lt;/C&gt;&lt;D xsi:type="xsd:string"&gt;#NUM&lt;/D&gt;&lt;/FQL&gt;&lt;FQL&gt;&lt;Q&gt;FB-US^LB_MKT_VALUE(0,,,"DEFAULT")&lt;/Q&gt;&lt;R&gt;0&lt;/R&gt;&lt;C&gt;0&lt;/C&gt;&lt;/FQL&gt;&lt;/Schema&gt;</t>
        </r>
      </text>
    </comment>
  </commentList>
</comments>
</file>

<file path=xl/sharedStrings.xml><?xml version="1.0" encoding="utf-8"?>
<sst xmlns="http://schemas.openxmlformats.org/spreadsheetml/2006/main" count="567" uniqueCount="347">
  <si>
    <t>Tax Rate</t>
  </si>
  <si>
    <t>EPS (diluted) change</t>
  </si>
  <si>
    <t>EPS (recurring) change</t>
  </si>
  <si>
    <t>Other Income (Expenses):</t>
  </si>
  <si>
    <t>EBIT Margin</t>
  </si>
  <si>
    <t>Total Operating Expenses as % of Revenue</t>
  </si>
  <si>
    <t>COGS as % of Revenue</t>
  </si>
  <si>
    <t>D&amp;A as % of Revenue</t>
  </si>
  <si>
    <t>SG&amp;A as % of Revenue</t>
  </si>
  <si>
    <t>Operating Expenses:</t>
  </si>
  <si>
    <t>Sales Growth</t>
  </si>
  <si>
    <t>Median</t>
  </si>
  <si>
    <t>Average</t>
  </si>
  <si>
    <t>Historical Data and Estimates</t>
  </si>
  <si>
    <t>-</t>
  </si>
  <si>
    <t>Headline EPS (diluted)</t>
  </si>
  <si>
    <t>Headline EPS</t>
  </si>
  <si>
    <t>Ordinary Income</t>
  </si>
  <si>
    <t>Foreign Currency Translation Gains/Losses</t>
  </si>
  <si>
    <t>Stock Option Expense</t>
  </si>
  <si>
    <t>Rental Expense</t>
  </si>
  <si>
    <t>Supplemental</t>
  </si>
  <si>
    <t>Depreciation &amp; Amortization Expense</t>
  </si>
  <si>
    <t>EBIT</t>
  </si>
  <si>
    <t>EBITDA</t>
  </si>
  <si>
    <t>Payout Ratio</t>
  </si>
  <si>
    <t>Dividends per Share</t>
  </si>
  <si>
    <t>Earnings Persistence</t>
  </si>
  <si>
    <t>Total Shares Outstanding</t>
  </si>
  <si>
    <t>Diluted Shares Outstanding</t>
  </si>
  <si>
    <t>EPS (diluted)</t>
  </si>
  <si>
    <t>EPS (recurring)</t>
  </si>
  <si>
    <t>Net Income available to Common</t>
  </si>
  <si>
    <t>Preferred Dividends</t>
  </si>
  <si>
    <t>Net Income</t>
  </si>
  <si>
    <t>Minority Interest</t>
  </si>
  <si>
    <t>Consolidated Net Income</t>
  </si>
  <si>
    <t>Other After Tax Adjustments</t>
  </si>
  <si>
    <t>Equity in Earnings of Affiliates</t>
  </si>
  <si>
    <t>Income Tax Credits</t>
  </si>
  <si>
    <t>Income Taxes - Deferred Foreign</t>
  </si>
  <si>
    <t>Income Taxes - Deferred Domestic</t>
  </si>
  <si>
    <t>Income Taxes - Current Foreign</t>
  </si>
  <si>
    <t>Income Taxes - Current Domestic</t>
  </si>
  <si>
    <t>Income Taxes</t>
  </si>
  <si>
    <t>Pretax Income</t>
  </si>
  <si>
    <t>Other Unusual Expense</t>
  </si>
  <si>
    <t>Unrealized Investment Loss (Gain)</t>
  </si>
  <si>
    <t>Other Intangible Assets Impairment</t>
  </si>
  <si>
    <t>Legal Claim Expense</t>
  </si>
  <si>
    <t>Goodwill Write Off</t>
  </si>
  <si>
    <t>Reorganization and Restructure Expense</t>
  </si>
  <si>
    <t>Exceptional Provisions</t>
  </si>
  <si>
    <t>Financial Assets Impairment</t>
  </si>
  <si>
    <t>Fixed Assets Impairment</t>
  </si>
  <si>
    <t>Unusual Expense - Net</t>
  </si>
  <si>
    <t>Interest Capitalized</t>
  </si>
  <si>
    <t>Gross Interest Expense</t>
  </si>
  <si>
    <t>Interest Expense</t>
  </si>
  <si>
    <t>Other Income (Expense)</t>
  </si>
  <si>
    <t>Nonoperating Interest Income</t>
  </si>
  <si>
    <t>Nonoperating Income - Net</t>
  </si>
  <si>
    <t>EBIT (Operating Income)</t>
  </si>
  <si>
    <t>Research &amp; Development</t>
  </si>
  <si>
    <t>SG&amp;A Expense</t>
  </si>
  <si>
    <t>Gross Profit</t>
  </si>
  <si>
    <t>Amortization of Deferred Charges</t>
  </si>
  <si>
    <t>Amortization of Intangibles</t>
  </si>
  <si>
    <t>Depreciation</t>
  </si>
  <si>
    <t>COGS excluding D&amp;A</t>
  </si>
  <si>
    <t>Sales</t>
  </si>
  <si>
    <t>Income Statement</t>
  </si>
  <si>
    <t>all figures $millions, except per share data</t>
  </si>
  <si>
    <t>E</t>
  </si>
  <si>
    <t>A</t>
  </si>
  <si>
    <t>Facebook Inc</t>
  </si>
  <si>
    <t>Income Statement - As Reported</t>
  </si>
  <si>
    <t>31 Dec '11 (Ann)</t>
  </si>
  <si>
    <t>31 Dec '12 (Ann)</t>
  </si>
  <si>
    <t>31 Dec '13 (Ann)</t>
  </si>
  <si>
    <t>31 Dec '14 (Ann)</t>
  </si>
  <si>
    <t>31 Dec '15 (Ann)</t>
  </si>
  <si>
    <t>31 Jan '14 (1Y)</t>
  </si>
  <si>
    <t>29 Jan '15 (1Y)</t>
  </si>
  <si>
    <t>28 Jan '16 (1Y)</t>
  </si>
  <si>
    <t>USD</t>
  </si>
  <si>
    <t>10-K (R)</t>
  </si>
  <si>
    <t>10-K</t>
  </si>
  <si>
    <t>Revenue</t>
  </si>
  <si>
    <t>Total costs and expenses</t>
  </si>
  <si>
    <t xml:space="preserve">  Cost of revenue</t>
  </si>
  <si>
    <t xml:space="preserve">  Research and development</t>
  </si>
  <si>
    <t xml:space="preserve">  Marketing and sales</t>
  </si>
  <si>
    <t xml:space="preserve">  General and administrative</t>
  </si>
  <si>
    <t>Income / loss from operations</t>
  </si>
  <si>
    <t>Interest and other income / expense, net</t>
  </si>
  <si>
    <t xml:space="preserve">  Interest expense</t>
  </si>
  <si>
    <t>--</t>
  </si>
  <si>
    <t xml:space="preserve">  Other income / expense, net</t>
  </si>
  <si>
    <t>Income / loss before provision for / benefit from income taxes</t>
  </si>
  <si>
    <t>Provision for / benefit from income taxes</t>
  </si>
  <si>
    <t>Net income / loss</t>
  </si>
  <si>
    <t>Net income attributable to participating securities</t>
  </si>
  <si>
    <t>Net income / loss attributable to Class A and Class B common stockholders</t>
  </si>
  <si>
    <t>Facebook Inc. (FB)</t>
  </si>
  <si>
    <t>Company Model</t>
  </si>
  <si>
    <t>Cost of Revenue</t>
  </si>
  <si>
    <t>Cost of Revenue as a % of Revenue</t>
  </si>
  <si>
    <t>Marketing and Sales</t>
  </si>
  <si>
    <t>General and Administrative</t>
  </si>
  <si>
    <t>Research &amp; Development as a % of Revenue</t>
  </si>
  <si>
    <t>Marketing and Sales as a % of Revenue</t>
  </si>
  <si>
    <t>General and Administrative as a % of Revenue</t>
  </si>
  <si>
    <t>DCF Analysis</t>
  </si>
  <si>
    <t>Dollars in Millions, except per share</t>
  </si>
  <si>
    <t>Less:  Depreciation &amp; Amortization</t>
  </si>
  <si>
    <t>Less: Taxes @</t>
  </si>
  <si>
    <t>Tax-effected EBIT</t>
  </si>
  <si>
    <t>Free Cash Flow to Firm (adj for 1Q)</t>
  </si>
  <si>
    <t>Perpetuity (Normalized)</t>
  </si>
  <si>
    <t xml:space="preserve">EBITDA Exit Multiple </t>
  </si>
  <si>
    <t>Weighted average cost of capital:</t>
  </si>
  <si>
    <t xml:space="preserve">Net present value of free cash flow </t>
  </si>
  <si>
    <t>Exit multiple post 2020</t>
  </si>
  <si>
    <t>Terminal value</t>
  </si>
  <si>
    <t xml:space="preserve">Present value of the terminal value </t>
  </si>
  <si>
    <t>Present value of the terminal value</t>
  </si>
  <si>
    <t>Enterprise Value</t>
  </si>
  <si>
    <t xml:space="preserve"> - Total Debt</t>
  </si>
  <si>
    <t xml:space="preserve"> - Minority Interest</t>
  </si>
  <si>
    <t xml:space="preserve"> - Preferred Equity</t>
  </si>
  <si>
    <t xml:space="preserve"> + Cash</t>
  </si>
  <si>
    <t>Equity Value</t>
  </si>
  <si>
    <t>Diluted shares:</t>
  </si>
  <si>
    <t xml:space="preserve">Equity Value Per Share </t>
  </si>
  <si>
    <t>Current Share Price</t>
  </si>
  <si>
    <t>PEx</t>
  </si>
  <si>
    <t>EPS</t>
  </si>
  <si>
    <t>PEx Value</t>
  </si>
  <si>
    <t>DCF Value</t>
  </si>
  <si>
    <t>%</t>
  </si>
  <si>
    <t>Facebook</t>
  </si>
  <si>
    <t>Proj 2016</t>
  </si>
  <si>
    <t>Proj 2017</t>
  </si>
  <si>
    <t>Proj 2018</t>
  </si>
  <si>
    <t>Cash Flow - As Reported</t>
  </si>
  <si>
    <t>Net cash provided by operating activities</t>
  </si>
  <si>
    <t xml:space="preserve">  Net income / loss</t>
  </si>
  <si>
    <t xml:space="preserve">  Adjustments to reconcile net income / loss to net cash provided by operating activities</t>
  </si>
  <si>
    <t xml:space="preserve">    Depreciation and amortization</t>
  </si>
  <si>
    <t xml:space="preserve">    Loss on disposal or write-off of equipment</t>
  </si>
  <si>
    <t xml:space="preserve">    Share-based compensation</t>
  </si>
  <si>
    <t xml:space="preserve">    Deferred income taxes</t>
  </si>
  <si>
    <t xml:space="preserve">    Tax benefit from share-based award activity</t>
  </si>
  <si>
    <t xml:space="preserve">    Excess tax benefit from share-based award activity</t>
  </si>
  <si>
    <t xml:space="preserve">    Other</t>
  </si>
  <si>
    <t xml:space="preserve">      Lease abandonment</t>
  </si>
  <si>
    <t xml:space="preserve">      Other excluding lease abandonment</t>
  </si>
  <si>
    <t xml:space="preserve">  Changes in assets and liabilities</t>
  </si>
  <si>
    <t xml:space="preserve">    Accounts receivable</t>
  </si>
  <si>
    <t xml:space="preserve">    Prepaid expenses and other current assets</t>
  </si>
  <si>
    <t xml:space="preserve">      Income tax refundable</t>
  </si>
  <si>
    <t xml:space="preserve">      Prepaid expenses and other current assets excluding income tax refundable</t>
  </si>
  <si>
    <t xml:space="preserve">    Other assets</t>
  </si>
  <si>
    <t xml:space="preserve">    Accounts payable</t>
  </si>
  <si>
    <t xml:space="preserve">    Partners payable</t>
  </si>
  <si>
    <t xml:space="preserve">    Accrued expenses and other current liabilities</t>
  </si>
  <si>
    <t xml:space="preserve">    Deferred revenue and deposits</t>
  </si>
  <si>
    <t xml:space="preserve">    Other liabilities</t>
  </si>
  <si>
    <t>Net cash used in / provided by investing activities</t>
  </si>
  <si>
    <t xml:space="preserve">  Purchases of property and equipment</t>
  </si>
  <si>
    <t xml:space="preserve">  Purchases of marketable securities</t>
  </si>
  <si>
    <t xml:space="preserve">  Sales of marketable securities</t>
  </si>
  <si>
    <t xml:space="preserve">  Maturities of marketable securities</t>
  </si>
  <si>
    <t xml:space="preserve">  Acquisitions of businesses, net of cash acquired, and purchases of intangible assets</t>
  </si>
  <si>
    <t xml:space="preserve">  Other investing activities, net</t>
  </si>
  <si>
    <t xml:space="preserve">    Investments in non-marketable equity securities</t>
  </si>
  <si>
    <t xml:space="preserve">    Change in restricted cash and deposits</t>
  </si>
  <si>
    <t xml:space="preserve">    Other investing activities, net excluding investments in non-marketable equity securities and change in restricted cash and deposits</t>
  </si>
  <si>
    <t>Net cash used in / provided by financing activities</t>
  </si>
  <si>
    <t xml:space="preserve">  Net proceeds from issuance of convertible preferred stock</t>
  </si>
  <si>
    <t xml:space="preserve">  Net proceeds from issuance of common stock</t>
  </si>
  <si>
    <t xml:space="preserve">  Taxes paid related to net share settlement</t>
  </si>
  <si>
    <t xml:space="preserve">  Proceeds from exercise of stock options</t>
  </si>
  <si>
    <t xml:space="preserve">  Proceeds from / repayments of long-term debt</t>
  </si>
  <si>
    <t xml:space="preserve">    Proceeds from long-term debt, net of issuance cost</t>
  </si>
  <si>
    <t xml:space="preserve">    Repayment of long-term debt</t>
  </si>
  <si>
    <t xml:space="preserve">  Proceeds from sale and lease-back transactions</t>
  </si>
  <si>
    <t xml:space="preserve">  Principal payments on capital lease obligations</t>
  </si>
  <si>
    <t xml:space="preserve">  Excess tax benefit from share-based award activity</t>
  </si>
  <si>
    <t>Effect of exchange rate changes on cash and cash equivalents</t>
  </si>
  <si>
    <t>Net increase / decrease in cash and cash equivalents</t>
  </si>
  <si>
    <t>Cash and cash equivalents at beginning of period</t>
  </si>
  <si>
    <t>Cash and cash equivalents at end of period</t>
  </si>
  <si>
    <t xml:space="preserve">  Cash paid / received during the period for</t>
  </si>
  <si>
    <t xml:space="preserve">    Interest</t>
  </si>
  <si>
    <t xml:space="preserve">    Income taxes, net</t>
  </si>
  <si>
    <t xml:space="preserve">      Income taxes paid</t>
  </si>
  <si>
    <t xml:space="preserve">      Income taxes received</t>
  </si>
  <si>
    <t xml:space="preserve">  Non-cash investing and financing activities</t>
  </si>
  <si>
    <t xml:space="preserve">    Net change in accounts payable, accrued expenses and other current liabilities, and other liabilities related to property and equipment additions</t>
  </si>
  <si>
    <t xml:space="preserve">    Property and equipment acquired under capital leases</t>
  </si>
  <si>
    <t xml:space="preserve">    Fair value of shares issued related to acquisitions of businesses</t>
  </si>
  <si>
    <t xml:space="preserve">    Promissory note payable issued in connection with an acquisition</t>
  </si>
  <si>
    <t>Facebook, Inc. Class A</t>
  </si>
  <si>
    <t>Use of Cash</t>
  </si>
  <si>
    <t xml:space="preserve">  </t>
  </si>
  <si>
    <t>Dec '07</t>
  </si>
  <si>
    <t>Dec '08</t>
  </si>
  <si>
    <t>Dec '09</t>
  </si>
  <si>
    <t>Dec '10</t>
  </si>
  <si>
    <t>Dec '11</t>
  </si>
  <si>
    <t>Dec '12</t>
  </si>
  <si>
    <t>Dec '13</t>
  </si>
  <si>
    <t>Dec '14</t>
  </si>
  <si>
    <t>Dec '15</t>
  </si>
  <si>
    <t xml:space="preserve">   </t>
  </si>
  <si>
    <t>366 Days</t>
  </si>
  <si>
    <t>365 Days</t>
  </si>
  <si>
    <t>Total Cash</t>
  </si>
  <si>
    <t>Previous Balance Sheet Amt + Cash Inflows</t>
  </si>
  <si>
    <t>Cash Flow</t>
  </si>
  <si>
    <t>Free Cash Flow</t>
  </si>
  <si>
    <t>Net Operating Cash Flow</t>
  </si>
  <si>
    <t>Capital Expenditures</t>
  </si>
  <si>
    <t>Mergers &amp; Acquisitions</t>
  </si>
  <si>
    <t>Business Divestitures</t>
  </si>
  <si>
    <t>Business Acquisitions</t>
  </si>
  <si>
    <t>Purchase/Sale of Investments</t>
  </si>
  <si>
    <t>Other Funds</t>
  </si>
  <si>
    <t>Cash Increase/Decrease</t>
  </si>
  <si>
    <t>Debt</t>
  </si>
  <si>
    <t>Debt Issuance</t>
  </si>
  <si>
    <t>Repayment of Debt</t>
  </si>
  <si>
    <t>Cash Received (Paid) from Debt Activity</t>
  </si>
  <si>
    <t>Dividends</t>
  </si>
  <si>
    <t>Common Dividends</t>
  </si>
  <si>
    <t>Dividends Paid</t>
  </si>
  <si>
    <t>Share Issued/Repurchased</t>
  </si>
  <si>
    <t>Equity Issuance/Option Exercise Proceeds</t>
  </si>
  <si>
    <t>Repurchase of Common/Preferred Stock</t>
  </si>
  <si>
    <t>Cash Received (Paid) from Change in Equity</t>
  </si>
  <si>
    <t>Cash</t>
  </si>
  <si>
    <t>Exchange Rate Effect</t>
  </si>
  <si>
    <t>Net Change in Cash (FX Adjusted)</t>
  </si>
  <si>
    <t>Cash on Balance Sheet</t>
  </si>
  <si>
    <t>FCF Growth</t>
  </si>
  <si>
    <t>Capex Growth</t>
  </si>
  <si>
    <t xml:space="preserve">FB   30303M102   B7TL820   NASDAQ    Common stock    </t>
  </si>
  <si>
    <t>Ratios - Annual</t>
  </si>
  <si>
    <t>Source : FactSet Fundamentals</t>
  </si>
  <si>
    <t>Year/Year growth</t>
  </si>
  <si>
    <t>5 Yr AVG</t>
  </si>
  <si>
    <t>365 DAYS</t>
  </si>
  <si>
    <t>366 DAYS</t>
  </si>
  <si>
    <t>Profitability (%)</t>
  </si>
  <si>
    <t>Gross Margin</t>
  </si>
  <si>
    <t>SG&amp;A to Sales</t>
  </si>
  <si>
    <t>Operating Margin</t>
  </si>
  <si>
    <t>Pretax Margin</t>
  </si>
  <si>
    <t>Net Margin</t>
  </si>
  <si>
    <t>Return on Assets</t>
  </si>
  <si>
    <t>Return on Equity</t>
  </si>
  <si>
    <t>Return on Common Equity</t>
  </si>
  <si>
    <t>Return on Total Capital</t>
  </si>
  <si>
    <t>Return on Invested Capital</t>
  </si>
  <si>
    <t>Cash Flow Return on Invested Capital</t>
  </si>
  <si>
    <t>Valuation (x)</t>
  </si>
  <si>
    <t>Price/Sales</t>
  </si>
  <si>
    <t>Price/Earnings</t>
  </si>
  <si>
    <t>Price/Book Value</t>
  </si>
  <si>
    <t>Price/Tangible Book Value</t>
  </si>
  <si>
    <t>Price/Cash Flow</t>
  </si>
  <si>
    <t>Price/Free Cash Flow</t>
  </si>
  <si>
    <t>Enterprise Value/EBIT</t>
  </si>
  <si>
    <t>Enterprise Value/EBITDA</t>
  </si>
  <si>
    <t>Enterprise Value/Sales</t>
  </si>
  <si>
    <t>Total Debt/Enterprise Value</t>
  </si>
  <si>
    <t>Per Share</t>
  </si>
  <si>
    <t>Sales per Share</t>
  </si>
  <si>
    <t>EBIT (Operating Income) per Share</t>
  </si>
  <si>
    <t>Book Value per Share</t>
  </si>
  <si>
    <t>Tangible Book Value per Share</t>
  </si>
  <si>
    <t>Cash Flow per Share</t>
  </si>
  <si>
    <t>Free Cash Flow per Share</t>
  </si>
  <si>
    <t>Asset Turnover Analysis (x)</t>
  </si>
  <si>
    <t>Cash &amp; ST Investments</t>
  </si>
  <si>
    <t>Receivables</t>
  </si>
  <si>
    <t>Current Assets</t>
  </si>
  <si>
    <t>Fixed Assets</t>
  </si>
  <si>
    <t>Total Assets</t>
  </si>
  <si>
    <t>DuPont Analysis</t>
  </si>
  <si>
    <t xml:space="preserve">   Asset Turnover (x)</t>
  </si>
  <si>
    <t xml:space="preserve">    x Pretax Margin (%)</t>
  </si>
  <si>
    <t xml:space="preserve"> = Pretax Return on Assets (%)</t>
  </si>
  <si>
    <t xml:space="preserve">    x Tax Rate Complement (1-Tax Rate)</t>
  </si>
  <si>
    <t xml:space="preserve"> = Return on Assets (%)</t>
  </si>
  <si>
    <t xml:space="preserve">    x Equity Multiplier (Assets/Equity)</t>
  </si>
  <si>
    <t xml:space="preserve"> = Return on Equity (%)</t>
  </si>
  <si>
    <t xml:space="preserve">    x Earnings Retention (1-Payout)</t>
  </si>
  <si>
    <t xml:space="preserve"> = Reinvestment Rate (%)</t>
  </si>
  <si>
    <t>Note: EBIT Return on Assets (%)</t>
  </si>
  <si>
    <t>Note: Interest as % Assets</t>
  </si>
  <si>
    <t>Operating Efficiency</t>
  </si>
  <si>
    <t>Revenue/Employee</t>
  </si>
  <si>
    <t>Net Income/Employee</t>
  </si>
  <si>
    <t>Assets/Employee</t>
  </si>
  <si>
    <t>Receivables Turnover (x)</t>
  </si>
  <si>
    <t>Payables Turnover (x)</t>
  </si>
  <si>
    <t>Asset Turnover (x)</t>
  </si>
  <si>
    <t>Working Capital Turnover (x)</t>
  </si>
  <si>
    <t>Operating Cycle (Days)</t>
  </si>
  <si>
    <t xml:space="preserve">   Days of Inventory on Hand</t>
  </si>
  <si>
    <t xml:space="preserve">    + Days of Sales Outstanding</t>
  </si>
  <si>
    <t xml:space="preserve"> = Operating Cycle</t>
  </si>
  <si>
    <t xml:space="preserve">    - Days of Payables Outstanding</t>
  </si>
  <si>
    <t>Liquidity</t>
  </si>
  <si>
    <t>Current Ratio</t>
  </si>
  <si>
    <t>Quick Ratio</t>
  </si>
  <si>
    <t>Cash Ratio</t>
  </si>
  <si>
    <t>Cash &amp; ST Inv/Current Assets (%)</t>
  </si>
  <si>
    <t>CFO/Current Liabilities (%)</t>
  </si>
  <si>
    <t>Coverage (x)</t>
  </si>
  <si>
    <t>Net Debt/EBITDA</t>
  </si>
  <si>
    <t>Net Debt/(EBITDA-Capex)</t>
  </si>
  <si>
    <t>Total Debt/EBITDA</t>
  </si>
  <si>
    <t>EBIT/Interest Expense (Int. Coverage)</t>
  </si>
  <si>
    <t>EBITDA/Interest Expense</t>
  </si>
  <si>
    <t>Fixed-charge Coverage Ratio</t>
  </si>
  <si>
    <t>CFO/Interest Expense</t>
  </si>
  <si>
    <t>LT Debt/EBITDA</t>
  </si>
  <si>
    <t>Net Debt/FFO</t>
  </si>
  <si>
    <t>LT Debt/FFO</t>
  </si>
  <si>
    <t>FCF/Total Debt</t>
  </si>
  <si>
    <t>CFO/Total Debt</t>
  </si>
  <si>
    <t>Leverage (%)</t>
  </si>
  <si>
    <t>LT Debt/Total Equity</t>
  </si>
  <si>
    <t>LT Debt/Total Capital</t>
  </si>
  <si>
    <t>LT Debt/Total Assets</t>
  </si>
  <si>
    <t>Total Debt/Total Assets</t>
  </si>
  <si>
    <t>Net Debt/Total Equity</t>
  </si>
  <si>
    <t>Total Debt/Equity</t>
  </si>
  <si>
    <t>Net Debt/Total Capital</t>
  </si>
  <si>
    <t>Total Debt/Total Capital</t>
  </si>
  <si>
    <t>PE</t>
  </si>
  <si>
    <t>This sheet contains FactSet XML data for use with this workbook's =FDS codes.  Modifying the worksheet's contents may damage the workbook's =FDS functionality.</t>
  </si>
  <si>
    <t>Upside (Downside)</t>
  </si>
</sst>
</file>

<file path=xl/styles.xml><?xml version="1.0" encoding="utf-8"?>
<styleSheet xmlns="http://schemas.openxmlformats.org/spreadsheetml/2006/main">
  <numFmts count="19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[Red]\-#,##0"/>
    <numFmt numFmtId="165" formatCode="#,##0.0\x_);\(#,##0.0\x\);#,##0.0\x_);@_)"/>
    <numFmt numFmtId="166" formatCode="&quot;Proj&quot;\ 0_)"/>
    <numFmt numFmtId="167" formatCode="&quot;$&quot;#,##0"/>
    <numFmt numFmtId="168" formatCode="#,##0%_);\(#,##0%\)"/>
    <numFmt numFmtId="169" formatCode="#,##0.0%_);\(#,##0.0%\)"/>
    <numFmt numFmtId="170" formatCode="#,##0.0\x_)"/>
    <numFmt numFmtId="171" formatCode="0.0\x"/>
    <numFmt numFmtId="172" formatCode="&quot;$&quot;#,##0.00"/>
    <numFmt numFmtId="173" formatCode="0.0%"/>
    <numFmt numFmtId="174" formatCode="&quot;$&quot;#,##0.0"/>
    <numFmt numFmtId="175" formatCode="_(* #,##0_);_(* \(#,##0\);_(* &quot;-&quot;??_);_(@_)"/>
    <numFmt numFmtId="176" formatCode="0.0\X"/>
    <numFmt numFmtId="181" formatCode="#,##0.00;[Red]\-#,##0.00"/>
    <numFmt numFmtId="184" formatCode="#,##0.0;[Red]\-#,##0.0"/>
  </numFmts>
  <fonts count="35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9C6500"/>
      <name val="Arial"/>
      <family val="2"/>
    </font>
    <font>
      <b/>
      <sz val="10"/>
      <color theme="1"/>
      <name val="Arial"/>
      <family val="2"/>
    </font>
    <font>
      <sz val="10"/>
      <color indexed="8"/>
      <name val="&quot;Arial&quot;"/>
    </font>
    <font>
      <sz val="10"/>
      <name val="&quot;Arial&quot;"/>
    </font>
    <font>
      <sz val="10"/>
      <name val="Arial"/>
      <family val="2"/>
    </font>
    <font>
      <b/>
      <u/>
      <sz val="12"/>
      <color theme="1"/>
      <name val="Arial"/>
      <family val="2"/>
    </font>
    <font>
      <b/>
      <sz val="10"/>
      <color indexed="8"/>
      <name val="&quot;Arial&quot;"/>
    </font>
    <font>
      <b/>
      <sz val="11"/>
      <name val="&quot;Arial&quot;"/>
    </font>
    <font>
      <b/>
      <u/>
      <sz val="12"/>
      <name val="&quot;Arial&quot;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sz val="48"/>
      <color theme="0"/>
      <name val="Arial"/>
      <family val="2"/>
    </font>
    <font>
      <sz val="20"/>
      <color theme="1"/>
      <name val="Arial"/>
      <family val="2"/>
    </font>
    <font>
      <sz val="14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u/>
      <sz val="11"/>
      <color indexed="8"/>
      <name val="Arial"/>
      <family val="2"/>
    </font>
    <font>
      <i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theme="4"/>
      <name val="Arial"/>
      <family val="2"/>
    </font>
    <font>
      <u/>
      <sz val="11"/>
      <name val="Arial"/>
      <family val="2"/>
    </font>
    <font>
      <sz val="11"/>
      <name val="Calibri"/>
      <family val="2"/>
    </font>
    <font>
      <sz val="10"/>
      <name val="Arial"/>
    </font>
    <font>
      <b/>
      <sz val="10"/>
      <name val="Arial"/>
    </font>
    <font>
      <sz val="9"/>
      <name val="trebuchet ms"/>
    </font>
    <font>
      <b/>
      <sz val="9"/>
      <name val="trebuchet ms"/>
    </font>
    <font>
      <b/>
      <sz val="14"/>
      <color rgb="FF17365C"/>
      <name val="trebuchet ms"/>
    </font>
    <font>
      <sz val="12"/>
      <color rgb="FF17365C"/>
      <name val="trebuchet ms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CFA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2" fillId="0" borderId="0"/>
    <xf numFmtId="0" fontId="6" fillId="0" borderId="0"/>
    <xf numFmtId="0" fontId="6" fillId="0" borderId="0"/>
    <xf numFmtId="0" fontId="11" fillId="0" borderId="0"/>
    <xf numFmtId="9" fontId="1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9" fontId="27" fillId="0" borderId="0" applyFont="0" applyFill="0" applyBorder="0" applyAlignment="0" applyProtection="0"/>
  </cellStyleXfs>
  <cellXfs count="167">
    <xf numFmtId="0" fontId="0" fillId="0" borderId="0" xfId="0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4" fontId="4" fillId="3" borderId="0" xfId="0" applyNumberFormat="1" applyFont="1" applyFill="1" applyBorder="1" applyAlignment="1" applyProtection="1">
      <alignment horizontal="right" vertical="center" wrapText="1"/>
    </xf>
    <xf numFmtId="2" fontId="5" fillId="3" borderId="1" xfId="0" applyNumberFormat="1" applyFont="1" applyFill="1" applyBorder="1" applyAlignment="1" applyProtection="1">
      <alignment vertical="center"/>
    </xf>
    <xf numFmtId="9" fontId="0" fillId="3" borderId="0" xfId="2" applyFont="1" applyFill="1"/>
    <xf numFmtId="9" fontId="0" fillId="4" borderId="0" xfId="2" applyFont="1" applyFill="1" applyAlignment="1">
      <alignment horizontal="right"/>
    </xf>
    <xf numFmtId="4" fontId="0" fillId="3" borderId="0" xfId="0" applyNumberFormat="1" applyFill="1"/>
    <xf numFmtId="9" fontId="0" fillId="3" borderId="0" xfId="0" applyNumberFormat="1" applyFill="1"/>
    <xf numFmtId="9" fontId="6" fillId="4" borderId="0" xfId="3" applyNumberFormat="1" applyFont="1" applyFill="1" applyAlignment="1">
      <alignment horizontal="right"/>
    </xf>
    <xf numFmtId="9" fontId="0" fillId="4" borderId="0" xfId="2" applyFont="1" applyFill="1"/>
    <xf numFmtId="9" fontId="0" fillId="4" borderId="0" xfId="0" applyNumberFormat="1" applyFill="1" applyAlignment="1">
      <alignment horizontal="right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7" fillId="3" borderId="0" xfId="0" applyFont="1" applyFill="1"/>
    <xf numFmtId="4" fontId="8" fillId="3" borderId="0" xfId="0" applyNumberFormat="1" applyFont="1" applyFill="1" applyBorder="1" applyAlignment="1" applyProtection="1">
      <alignment horizontal="right" vertical="center"/>
    </xf>
    <xf numFmtId="2" fontId="9" fillId="3" borderId="1" xfId="0" applyNumberFormat="1" applyFont="1" applyFill="1" applyBorder="1" applyAlignment="1" applyProtection="1">
      <alignment vertical="center"/>
    </xf>
    <xf numFmtId="2" fontId="0" fillId="3" borderId="0" xfId="0" applyNumberFormat="1" applyFill="1" applyAlignment="1">
      <alignment horizontal="right"/>
    </xf>
    <xf numFmtId="4" fontId="8" fillId="3" borderId="2" xfId="0" applyNumberFormat="1" applyFont="1" applyFill="1" applyBorder="1" applyAlignment="1" applyProtection="1">
      <alignment horizontal="right" vertical="center"/>
    </xf>
    <xf numFmtId="4" fontId="4" fillId="3" borderId="2" xfId="0" applyNumberFormat="1" applyFont="1" applyFill="1" applyBorder="1" applyAlignment="1" applyProtection="1">
      <alignment horizontal="right" vertical="center"/>
    </xf>
    <xf numFmtId="43" fontId="0" fillId="3" borderId="3" xfId="0" applyNumberFormat="1" applyFill="1" applyBorder="1" applyAlignment="1">
      <alignment horizontal="right"/>
    </xf>
    <xf numFmtId="43" fontId="0" fillId="3" borderId="0" xfId="0" applyNumberFormat="1" applyFill="1" applyAlignment="1">
      <alignment horizontal="right"/>
    </xf>
    <xf numFmtId="43" fontId="3" fillId="3" borderId="0" xfId="1" applyFont="1" applyFill="1" applyAlignment="1">
      <alignment horizontal="right"/>
    </xf>
    <xf numFmtId="4" fontId="8" fillId="3" borderId="0" xfId="0" applyNumberFormat="1" applyFont="1" applyFill="1" applyBorder="1" applyAlignment="1" applyProtection="1">
      <alignment horizontal="right" vertical="center" wrapText="1"/>
    </xf>
    <xf numFmtId="2" fontId="5" fillId="3" borderId="0" xfId="0" applyNumberFormat="1" applyFont="1" applyFill="1" applyBorder="1" applyAlignment="1" applyProtection="1">
      <alignment vertical="center"/>
    </xf>
    <xf numFmtId="2" fontId="10" fillId="3" borderId="1" xfId="0" applyNumberFormat="1" applyFont="1" applyFill="1" applyBorder="1" applyAlignment="1" applyProtection="1">
      <alignment vertical="center"/>
    </xf>
    <xf numFmtId="2" fontId="6" fillId="0" borderId="0" xfId="0" applyNumberFormat="1" applyFont="1" applyFill="1" applyBorder="1" applyAlignment="1" applyProtection="1"/>
    <xf numFmtId="2" fontId="14" fillId="0" borderId="0" xfId="0" applyNumberFormat="1" applyFont="1" applyFill="1" applyBorder="1" applyAlignment="1" applyProtection="1"/>
    <xf numFmtId="164" fontId="6" fillId="0" borderId="0" xfId="0" applyNumberFormat="1" applyFont="1" applyFill="1" applyBorder="1" applyAlignment="1" applyProtection="1"/>
    <xf numFmtId="165" fontId="15" fillId="5" borderId="0" xfId="0" applyNumberFormat="1" applyFont="1" applyFill="1" applyAlignment="1">
      <alignment horizontal="center"/>
    </xf>
    <xf numFmtId="0" fontId="6" fillId="3" borderId="0" xfId="0" applyFont="1" applyFill="1"/>
    <xf numFmtId="0" fontId="16" fillId="3" borderId="0" xfId="0" applyFont="1" applyFill="1"/>
    <xf numFmtId="15" fontId="17" fillId="3" borderId="0" xfId="0" applyNumberFormat="1" applyFont="1" applyFill="1" applyAlignment="1">
      <alignment horizontal="left"/>
    </xf>
    <xf numFmtId="2" fontId="5" fillId="3" borderId="1" xfId="0" applyNumberFormat="1" applyFont="1" applyFill="1" applyBorder="1" applyAlignment="1" applyProtection="1">
      <alignment vertical="center"/>
    </xf>
    <xf numFmtId="9" fontId="0" fillId="6" borderId="0" xfId="2" applyFont="1" applyFill="1"/>
    <xf numFmtId="9" fontId="0" fillId="6" borderId="0" xfId="0" applyNumberFormat="1" applyFill="1"/>
    <xf numFmtId="2" fontId="6" fillId="3" borderId="0" xfId="0" applyNumberFormat="1" applyFont="1" applyFill="1" applyBorder="1" applyAlignment="1" applyProtection="1"/>
    <xf numFmtId="0" fontId="18" fillId="3" borderId="4" xfId="12" applyFont="1" applyFill="1" applyBorder="1"/>
    <xf numFmtId="0" fontId="18" fillId="3" borderId="5" xfId="12" applyFont="1" applyFill="1" applyBorder="1"/>
    <xf numFmtId="0" fontId="18" fillId="3" borderId="5" xfId="12" applyFont="1" applyFill="1" applyBorder="1" applyAlignment="1" applyProtection="1">
      <protection locked="0"/>
    </xf>
    <xf numFmtId="0" fontId="18" fillId="3" borderId="6" xfId="12" applyFont="1" applyFill="1" applyBorder="1"/>
    <xf numFmtId="0" fontId="19" fillId="3" borderId="7" xfId="12" applyFont="1" applyFill="1" applyBorder="1"/>
    <xf numFmtId="0" fontId="19" fillId="3" borderId="0" xfId="12" applyFont="1" applyFill="1" applyBorder="1"/>
    <xf numFmtId="0" fontId="20" fillId="3" borderId="0" xfId="8" applyFont="1" applyFill="1" applyBorder="1"/>
    <xf numFmtId="0" fontId="19" fillId="3" borderId="8" xfId="12" applyFont="1" applyFill="1" applyBorder="1"/>
    <xf numFmtId="166" fontId="21" fillId="3" borderId="0" xfId="12" applyNumberFormat="1" applyFont="1" applyFill="1" applyBorder="1"/>
    <xf numFmtId="0" fontId="19" fillId="3" borderId="7" xfId="12" applyFont="1" applyFill="1" applyBorder="1" applyAlignment="1">
      <alignment horizontal="left"/>
    </xf>
    <xf numFmtId="0" fontId="19" fillId="3" borderId="0" xfId="12" applyFont="1" applyFill="1" applyBorder="1" applyAlignment="1">
      <alignment horizontal="left"/>
    </xf>
    <xf numFmtId="5" fontId="19" fillId="3" borderId="0" xfId="12" applyNumberFormat="1" applyFont="1" applyFill="1" applyBorder="1" applyProtection="1"/>
    <xf numFmtId="167" fontId="19" fillId="3" borderId="0" xfId="12" applyNumberFormat="1" applyFont="1" applyFill="1" applyBorder="1" applyAlignment="1">
      <alignment horizontal="right"/>
    </xf>
    <xf numFmtId="168" fontId="19" fillId="3" borderId="0" xfId="12" applyNumberFormat="1" applyFont="1" applyFill="1" applyBorder="1" applyProtection="1"/>
    <xf numFmtId="0" fontId="19" fillId="3" borderId="9" xfId="12" applyFont="1" applyFill="1" applyBorder="1" applyAlignment="1">
      <alignment horizontal="left"/>
    </xf>
    <xf numFmtId="0" fontId="19" fillId="3" borderId="10" xfId="12" applyFont="1" applyFill="1" applyBorder="1" applyAlignment="1">
      <alignment horizontal="left"/>
    </xf>
    <xf numFmtId="0" fontId="19" fillId="3" borderId="10" xfId="12" applyFont="1" applyFill="1" applyBorder="1"/>
    <xf numFmtId="0" fontId="22" fillId="3" borderId="7" xfId="12" applyFont="1" applyFill="1" applyBorder="1" applyAlignment="1">
      <alignment horizontal="left"/>
    </xf>
    <xf numFmtId="0" fontId="22" fillId="3" borderId="0" xfId="12" applyFont="1" applyFill="1" applyBorder="1" applyAlignment="1">
      <alignment horizontal="left"/>
    </xf>
    <xf numFmtId="0" fontId="22" fillId="3" borderId="0" xfId="12" applyFont="1" applyFill="1" applyBorder="1"/>
    <xf numFmtId="1" fontId="19" fillId="3" borderId="0" xfId="12" applyNumberFormat="1" applyFont="1" applyFill="1" applyBorder="1"/>
    <xf numFmtId="0" fontId="20" fillId="3" borderId="8" xfId="8" applyFont="1" applyFill="1" applyBorder="1"/>
    <xf numFmtId="0" fontId="23" fillId="3" borderId="12" xfId="12" applyFont="1" applyFill="1" applyBorder="1" applyAlignment="1">
      <alignment horizontal="centerContinuous"/>
    </xf>
    <xf numFmtId="0" fontId="24" fillId="3" borderId="13" xfId="12" applyFont="1" applyFill="1" applyBorder="1" applyAlignment="1">
      <alignment horizontal="centerContinuous"/>
    </xf>
    <xf numFmtId="0" fontId="24" fillId="3" borderId="14" xfId="12" applyFont="1" applyFill="1" applyBorder="1" applyAlignment="1">
      <alignment horizontal="centerContinuous"/>
    </xf>
    <xf numFmtId="0" fontId="19" fillId="3" borderId="4" xfId="12" applyFont="1" applyFill="1" applyBorder="1"/>
    <xf numFmtId="0" fontId="19" fillId="3" borderId="5" xfId="12" applyFont="1" applyFill="1" applyBorder="1"/>
    <xf numFmtId="0" fontId="19" fillId="3" borderId="6" xfId="12" applyFont="1" applyFill="1" applyBorder="1"/>
    <xf numFmtId="0" fontId="19" fillId="3" borderId="7" xfId="12" applyFont="1" applyFill="1" applyBorder="1" applyAlignment="1" applyProtection="1">
      <alignment horizontal="left"/>
    </xf>
    <xf numFmtId="0" fontId="19" fillId="3" borderId="0" xfId="12" applyFont="1" applyFill="1" applyBorder="1" applyAlignment="1" applyProtection="1">
      <alignment horizontal="left"/>
    </xf>
    <xf numFmtId="0" fontId="19" fillId="3" borderId="0" xfId="12" applyFont="1" applyFill="1" applyBorder="1" applyProtection="1"/>
    <xf numFmtId="5" fontId="19" fillId="3" borderId="8" xfId="12" applyNumberFormat="1" applyFont="1" applyFill="1" applyBorder="1" applyProtection="1">
      <protection hidden="1"/>
    </xf>
    <xf numFmtId="0" fontId="18" fillId="3" borderId="7" xfId="12" applyFont="1" applyFill="1" applyBorder="1" applyAlignment="1" applyProtection="1">
      <alignment horizontal="left"/>
    </xf>
    <xf numFmtId="0" fontId="19" fillId="3" borderId="7" xfId="12" applyFont="1" applyFill="1" applyBorder="1" applyAlignment="1"/>
    <xf numFmtId="5" fontId="19" fillId="3" borderId="8" xfId="12" applyNumberFormat="1" applyFont="1" applyFill="1" applyBorder="1"/>
    <xf numFmtId="0" fontId="18" fillId="3" borderId="0" xfId="12" applyFont="1" applyFill="1" applyBorder="1" applyAlignment="1" applyProtection="1">
      <alignment horizontal="left"/>
    </xf>
    <xf numFmtId="0" fontId="18" fillId="3" borderId="0" xfId="12" applyFont="1" applyFill="1" applyBorder="1" applyProtection="1"/>
    <xf numFmtId="0" fontId="18" fillId="3" borderId="0" xfId="12" applyFont="1" applyFill="1" applyBorder="1"/>
    <xf numFmtId="5" fontId="18" fillId="3" borderId="8" xfId="12" applyNumberFormat="1" applyFont="1" applyFill="1" applyBorder="1" applyProtection="1">
      <protection hidden="1"/>
    </xf>
    <xf numFmtId="0" fontId="18" fillId="3" borderId="16" xfId="12" applyFont="1" applyFill="1" applyBorder="1" applyAlignment="1" applyProtection="1">
      <alignment horizontal="left"/>
    </xf>
    <xf numFmtId="0" fontId="18" fillId="3" borderId="3" xfId="12" applyFont="1" applyFill="1" applyBorder="1" applyAlignment="1" applyProtection="1">
      <alignment horizontal="left"/>
    </xf>
    <xf numFmtId="0" fontId="18" fillId="3" borderId="3" xfId="12" applyFont="1" applyFill="1" applyBorder="1" applyProtection="1"/>
    <xf numFmtId="0" fontId="18" fillId="3" borderId="3" xfId="12" applyFont="1" applyFill="1" applyBorder="1"/>
    <xf numFmtId="5" fontId="18" fillId="3" borderId="17" xfId="12" applyNumberFormat="1" applyFont="1" applyFill="1" applyBorder="1" applyProtection="1">
      <protection hidden="1"/>
    </xf>
    <xf numFmtId="37" fontId="19" fillId="3" borderId="0" xfId="12" applyNumberFormat="1" applyFont="1" applyFill="1" applyBorder="1" applyProtection="1"/>
    <xf numFmtId="37" fontId="19" fillId="3" borderId="8" xfId="12" applyNumberFormat="1" applyFont="1" applyFill="1" applyBorder="1" applyProtection="1"/>
    <xf numFmtId="0" fontId="19" fillId="3" borderId="16" xfId="12" applyFont="1" applyFill="1" applyBorder="1"/>
    <xf numFmtId="0" fontId="19" fillId="3" borderId="3" xfId="12" applyFont="1" applyFill="1" applyBorder="1"/>
    <xf numFmtId="0" fontId="18" fillId="3" borderId="0" xfId="12" applyFont="1" applyFill="1" applyBorder="1" applyAlignment="1"/>
    <xf numFmtId="0" fontId="19" fillId="3" borderId="0" xfId="12" applyFont="1" applyFill="1"/>
    <xf numFmtId="0" fontId="19" fillId="3" borderId="0" xfId="12" applyFont="1" applyFill="1" applyAlignment="1">
      <alignment horizontal="center"/>
    </xf>
    <xf numFmtId="0" fontId="19" fillId="3" borderId="0" xfId="12" applyFont="1" applyFill="1" applyBorder="1" applyAlignment="1"/>
    <xf numFmtId="0" fontId="19" fillId="3" borderId="0" xfId="12" applyFont="1" applyFill="1" applyBorder="1" applyAlignment="1">
      <alignment horizontal="center"/>
    </xf>
    <xf numFmtId="0" fontId="18" fillId="3" borderId="0" xfId="12" applyFont="1" applyFill="1" applyBorder="1" applyAlignment="1">
      <alignment horizontal="right"/>
    </xf>
    <xf numFmtId="172" fontId="19" fillId="3" borderId="0" xfId="12" applyNumberFormat="1" applyFont="1" applyFill="1" applyAlignment="1">
      <alignment horizontal="right"/>
    </xf>
    <xf numFmtId="0" fontId="26" fillId="3" borderId="0" xfId="12" applyFont="1" applyFill="1" applyBorder="1"/>
    <xf numFmtId="0" fontId="19" fillId="3" borderId="0" xfId="12" applyFont="1" applyFill="1" applyAlignment="1">
      <alignment horizontal="right"/>
    </xf>
    <xf numFmtId="0" fontId="19" fillId="3" borderId="0" xfId="12" applyFont="1" applyFill="1" applyBorder="1" applyAlignment="1">
      <alignment horizontal="right"/>
    </xf>
    <xf numFmtId="167" fontId="19" fillId="3" borderId="0" xfId="12" applyNumberFormat="1" applyFont="1" applyFill="1" applyAlignment="1">
      <alignment horizontal="right"/>
    </xf>
    <xf numFmtId="175" fontId="19" fillId="3" borderId="0" xfId="4" applyNumberFormat="1" applyFont="1" applyFill="1" applyAlignment="1">
      <alignment horizontal="right"/>
    </xf>
    <xf numFmtId="0" fontId="18" fillId="3" borderId="18" xfId="12" applyFont="1" applyFill="1" applyBorder="1"/>
    <xf numFmtId="0" fontId="19" fillId="3" borderId="18" xfId="12" applyFont="1" applyFill="1" applyBorder="1" applyAlignment="1">
      <alignment horizontal="center"/>
    </xf>
    <xf numFmtId="9" fontId="19" fillId="3" borderId="0" xfId="10" applyFont="1" applyFill="1" applyBorder="1"/>
    <xf numFmtId="2" fontId="5" fillId="3" borderId="1" xfId="0" applyNumberFormat="1" applyFont="1" applyFill="1" applyBorder="1" applyAlignment="1" applyProtection="1">
      <alignment vertical="center"/>
    </xf>
    <xf numFmtId="4" fontId="5" fillId="3" borderId="0" xfId="0" applyNumberFormat="1" applyFont="1" applyFill="1" applyBorder="1" applyAlignment="1" applyProtection="1">
      <alignment vertical="center"/>
    </xf>
    <xf numFmtId="0" fontId="19" fillId="3" borderId="8" xfId="12" applyFont="1" applyFill="1" applyBorder="1" applyAlignment="1">
      <alignment horizontal="center"/>
    </xf>
    <xf numFmtId="0" fontId="18" fillId="3" borderId="8" xfId="12" applyFont="1" applyFill="1" applyBorder="1" applyAlignment="1">
      <alignment horizontal="right"/>
    </xf>
    <xf numFmtId="171" fontId="19" fillId="3" borderId="0" xfId="12" applyNumberFormat="1" applyFont="1" applyFill="1" applyBorder="1" applyAlignment="1">
      <alignment horizontal="right"/>
    </xf>
    <xf numFmtId="172" fontId="19" fillId="3" borderId="8" xfId="12" applyNumberFormat="1" applyFont="1" applyFill="1" applyBorder="1" applyAlignment="1">
      <alignment horizontal="right"/>
    </xf>
    <xf numFmtId="0" fontId="19" fillId="3" borderId="8" xfId="12" applyFont="1" applyFill="1" applyBorder="1" applyAlignment="1">
      <alignment horizontal="right"/>
    </xf>
    <xf numFmtId="173" fontId="19" fillId="3" borderId="0" xfId="10" applyNumberFormat="1" applyFont="1" applyFill="1" applyBorder="1" applyAlignment="1">
      <alignment horizontal="right"/>
    </xf>
    <xf numFmtId="174" fontId="19" fillId="3" borderId="8" xfId="12" applyNumberFormat="1" applyFont="1" applyFill="1" applyBorder="1" applyAlignment="1">
      <alignment horizontal="right"/>
    </xf>
    <xf numFmtId="176" fontId="25" fillId="3" borderId="8" xfId="12" applyNumberFormat="1" applyFont="1" applyFill="1" applyBorder="1"/>
    <xf numFmtId="172" fontId="19" fillId="3" borderId="8" xfId="12" applyNumberFormat="1" applyFont="1" applyFill="1" applyBorder="1"/>
    <xf numFmtId="167" fontId="19" fillId="3" borderId="8" xfId="12" applyNumberFormat="1" applyFont="1" applyFill="1" applyBorder="1"/>
    <xf numFmtId="167" fontId="18" fillId="3" borderId="19" xfId="12" applyNumberFormat="1" applyFont="1" applyFill="1" applyBorder="1"/>
    <xf numFmtId="0" fontId="19" fillId="3" borderId="0" xfId="12" quotePrefix="1" applyFont="1" applyFill="1" applyBorder="1"/>
    <xf numFmtId="9" fontId="19" fillId="3" borderId="8" xfId="10" applyFont="1" applyFill="1" applyBorder="1"/>
    <xf numFmtId="0" fontId="19" fillId="3" borderId="17" xfId="12" applyFont="1" applyFill="1" applyBorder="1"/>
    <xf numFmtId="166" fontId="21" fillId="7" borderId="0" xfId="12" applyNumberFormat="1" applyFont="1" applyFill="1" applyBorder="1"/>
    <xf numFmtId="167" fontId="19" fillId="7" borderId="0" xfId="12" applyNumberFormat="1" applyFont="1" applyFill="1" applyBorder="1" applyAlignment="1">
      <alignment horizontal="right"/>
    </xf>
    <xf numFmtId="167" fontId="19" fillId="7" borderId="10" xfId="12" applyNumberFormat="1" applyFont="1" applyFill="1" applyBorder="1" applyAlignment="1" applyProtection="1">
      <alignment horizontal="right"/>
    </xf>
    <xf numFmtId="169" fontId="19" fillId="7" borderId="15" xfId="12" applyNumberFormat="1" applyFont="1" applyFill="1" applyBorder="1"/>
    <xf numFmtId="5" fontId="25" fillId="7" borderId="15" xfId="5" applyNumberFormat="1" applyFont="1" applyFill="1" applyBorder="1" applyProtection="1">
      <protection locked="0"/>
    </xf>
    <xf numFmtId="170" fontId="25" fillId="7" borderId="15" xfId="12" applyNumberFormat="1" applyFont="1" applyFill="1" applyBorder="1" applyProtection="1">
      <protection locked="0"/>
    </xf>
    <xf numFmtId="0" fontId="23" fillId="7" borderId="12" xfId="12" applyFont="1" applyFill="1" applyBorder="1" applyAlignment="1" applyProtection="1">
      <alignment horizontal="left"/>
    </xf>
    <xf numFmtId="0" fontId="24" fillId="7" borderId="12" xfId="12" applyFont="1" applyFill="1" applyBorder="1"/>
    <xf numFmtId="0" fontId="24" fillId="7" borderId="13" xfId="12" applyFont="1" applyFill="1" applyBorder="1"/>
    <xf numFmtId="5" fontId="23" fillId="7" borderId="14" xfId="12" applyNumberFormat="1" applyFont="1" applyFill="1" applyBorder="1" applyProtection="1">
      <protection hidden="1"/>
    </xf>
    <xf numFmtId="167" fontId="19" fillId="3" borderId="0" xfId="12" applyNumberFormat="1" applyFont="1" applyFill="1" applyBorder="1" applyAlignment="1" applyProtection="1">
      <alignment horizontal="right"/>
    </xf>
    <xf numFmtId="167" fontId="18" fillId="3" borderId="0" xfId="12" applyNumberFormat="1" applyFont="1" applyFill="1" applyBorder="1" applyAlignment="1" applyProtection="1">
      <alignment horizontal="right"/>
    </xf>
    <xf numFmtId="166" fontId="21" fillId="7" borderId="8" xfId="12" applyNumberFormat="1" applyFont="1" applyFill="1" applyBorder="1"/>
    <xf numFmtId="167" fontId="19" fillId="7" borderId="8" xfId="12" applyNumberFormat="1" applyFont="1" applyFill="1" applyBorder="1" applyAlignment="1">
      <alignment horizontal="right"/>
    </xf>
    <xf numFmtId="167" fontId="19" fillId="7" borderId="11" xfId="12" applyNumberFormat="1" applyFont="1" applyFill="1" applyBorder="1" applyAlignment="1" applyProtection="1">
      <alignment horizontal="right"/>
    </xf>
    <xf numFmtId="2" fontId="28" fillId="0" borderId="0" xfId="0" applyNumberFormat="1" applyFont="1" applyFill="1" applyBorder="1" applyAlignment="1" applyProtection="1"/>
    <xf numFmtId="2" fontId="29" fillId="0" borderId="0" xfId="0" applyNumberFormat="1" applyFont="1" applyFill="1" applyBorder="1" applyAlignment="1" applyProtection="1"/>
    <xf numFmtId="164" fontId="28" fillId="0" borderId="0" xfId="0" applyNumberFormat="1" applyFont="1" applyFill="1" applyBorder="1" applyAlignment="1" applyProtection="1"/>
    <xf numFmtId="2" fontId="29" fillId="0" borderId="0" xfId="0" applyNumberFormat="1" applyFont="1" applyFill="1" applyBorder="1" applyAlignment="1" applyProtection="1"/>
    <xf numFmtId="181" fontId="28" fillId="0" borderId="0" xfId="0" applyNumberFormat="1" applyFont="1" applyFill="1" applyBorder="1" applyAlignment="1" applyProtection="1"/>
    <xf numFmtId="164" fontId="29" fillId="0" borderId="2" xfId="0" applyNumberFormat="1" applyFont="1" applyFill="1" applyBorder="1" applyAlignment="1" applyProtection="1"/>
    <xf numFmtId="181" fontId="29" fillId="0" borderId="2" xfId="0" applyNumberFormat="1" applyFont="1" applyFill="1" applyBorder="1" applyAlignment="1" applyProtection="1"/>
    <xf numFmtId="164" fontId="29" fillId="0" borderId="0" xfId="0" applyNumberFormat="1" applyFont="1" applyFill="1" applyBorder="1" applyAlignment="1" applyProtection="1"/>
    <xf numFmtId="181" fontId="0" fillId="0" borderId="0" xfId="0" applyNumberFormat="1"/>
    <xf numFmtId="9" fontId="0" fillId="0" borderId="0" xfId="2" applyFont="1"/>
    <xf numFmtId="9" fontId="0" fillId="0" borderId="0" xfId="0" applyNumberFormat="1"/>
    <xf numFmtId="2" fontId="0" fillId="6" borderId="0" xfId="0" applyNumberFormat="1" applyFill="1"/>
    <xf numFmtId="0" fontId="18" fillId="3" borderId="9" xfId="12" applyFont="1" applyFill="1" applyBorder="1" applyAlignment="1">
      <alignment horizontal="left"/>
    </xf>
    <xf numFmtId="0" fontId="18" fillId="3" borderId="10" xfId="12" applyFont="1" applyFill="1" applyBorder="1" applyAlignment="1">
      <alignment horizontal="left"/>
    </xf>
    <xf numFmtId="0" fontId="18" fillId="3" borderId="10" xfId="12" applyFont="1" applyFill="1" applyBorder="1"/>
    <xf numFmtId="167" fontId="18" fillId="7" borderId="10" xfId="12" applyNumberFormat="1" applyFont="1" applyFill="1" applyBorder="1" applyAlignment="1" applyProtection="1">
      <alignment horizontal="right"/>
    </xf>
    <xf numFmtId="2" fontId="30" fillId="0" borderId="0" xfId="0" applyNumberFormat="1" applyFont="1" applyFill="1" applyBorder="1" applyAlignment="1" applyProtection="1"/>
    <xf numFmtId="2" fontId="31" fillId="0" borderId="0" xfId="0" applyNumberFormat="1" applyFont="1" applyFill="1" applyBorder="1" applyAlignment="1" applyProtection="1">
      <alignment horizontal="right"/>
    </xf>
    <xf numFmtId="164" fontId="31" fillId="0" borderId="0" xfId="0" applyNumberFormat="1" applyFont="1" applyFill="1" applyBorder="1" applyAlignment="1" applyProtection="1">
      <alignment horizontal="right"/>
    </xf>
    <xf numFmtId="2" fontId="30" fillId="0" borderId="0" xfId="0" applyNumberFormat="1" applyFont="1" applyFill="1" applyBorder="1" applyAlignment="1" applyProtection="1">
      <alignment horizontal="right"/>
    </xf>
    <xf numFmtId="164" fontId="30" fillId="0" borderId="0" xfId="0" applyNumberFormat="1" applyFont="1" applyFill="1" applyBorder="1" applyAlignment="1" applyProtection="1">
      <alignment horizontal="right"/>
    </xf>
    <xf numFmtId="2" fontId="31" fillId="0" borderId="0" xfId="0" applyNumberFormat="1" applyFont="1" applyFill="1" applyBorder="1" applyAlignment="1" applyProtection="1">
      <alignment horizontal="left"/>
    </xf>
    <xf numFmtId="2" fontId="30" fillId="0" borderId="0" xfId="0" applyNumberFormat="1" applyFont="1" applyFill="1" applyBorder="1" applyAlignment="1" applyProtection="1">
      <alignment horizontal="left"/>
    </xf>
    <xf numFmtId="181" fontId="30" fillId="0" borderId="0" xfId="0" applyNumberFormat="1" applyFont="1" applyFill="1" applyBorder="1" applyAlignment="1" applyProtection="1">
      <alignment horizontal="right"/>
    </xf>
    <xf numFmtId="181" fontId="30" fillId="0" borderId="0" xfId="0" applyNumberFormat="1" applyFont="1" applyFill="1" applyBorder="1" applyAlignment="1" applyProtection="1"/>
    <xf numFmtId="181" fontId="28" fillId="0" borderId="0" xfId="0" applyNumberFormat="1" applyFont="1" applyFill="1" applyBorder="1" applyAlignment="1" applyProtection="1">
      <alignment horizontal="right"/>
    </xf>
    <xf numFmtId="184" fontId="28" fillId="0" borderId="0" xfId="0" applyNumberFormat="1" applyFont="1" applyFill="1" applyBorder="1" applyAlignment="1" applyProtection="1">
      <alignment horizontal="right"/>
    </xf>
    <xf numFmtId="2" fontId="30" fillId="0" borderId="2" xfId="0" applyNumberFormat="1" applyFont="1" applyFill="1" applyBorder="1" applyAlignment="1" applyProtection="1">
      <alignment horizontal="left"/>
    </xf>
    <xf numFmtId="164" fontId="30" fillId="0" borderId="2" xfId="0" applyNumberFormat="1" applyFont="1" applyFill="1" applyBorder="1" applyAlignment="1" applyProtection="1">
      <alignment horizontal="right"/>
    </xf>
    <xf numFmtId="181" fontId="30" fillId="0" borderId="2" xfId="0" applyNumberFormat="1" applyFont="1" applyFill="1" applyBorder="1" applyAlignment="1" applyProtection="1"/>
    <xf numFmtId="184" fontId="30" fillId="0" borderId="0" xfId="0" applyNumberFormat="1" applyFont="1" applyFill="1" applyBorder="1" applyAlignment="1" applyProtection="1">
      <alignment horizontal="right"/>
    </xf>
    <xf numFmtId="2" fontId="32" fillId="0" borderId="0" xfId="0" applyNumberFormat="1" applyFont="1" applyFill="1" applyBorder="1" applyAlignment="1" applyProtection="1">
      <alignment vertical="center"/>
    </xf>
    <xf numFmtId="2" fontId="33" fillId="0" borderId="0" xfId="0" applyNumberFormat="1" applyFont="1" applyFill="1" applyBorder="1" applyAlignment="1" applyProtection="1">
      <alignment vertical="center"/>
    </xf>
    <xf numFmtId="0" fontId="0" fillId="8" borderId="0" xfId="0" applyNumberFormat="1" applyFill="1"/>
    <xf numFmtId="6" fontId="25" fillId="8" borderId="15" xfId="12" applyNumberFormat="1" applyFont="1" applyFill="1" applyBorder="1" applyAlignment="1">
      <alignment horizontal="center"/>
    </xf>
  </cellXfs>
  <cellStyles count="14">
    <cellStyle name="Comma" xfId="1" builtinId="3"/>
    <cellStyle name="Comma 2" xfId="4"/>
    <cellStyle name="Currency 2" xfId="5"/>
    <cellStyle name="Hyperlink" xfId="11" builtinId="8" customBuiltin="1"/>
    <cellStyle name="Neutral" xfId="3" builtinId="28"/>
    <cellStyle name="Normal" xfId="0" builtinId="0"/>
    <cellStyle name="Normal 2" xfId="6"/>
    <cellStyle name="Normal 2 3" xfId="12"/>
    <cellStyle name="Normal 3" xfId="7"/>
    <cellStyle name="Normal 4" xfId="8"/>
    <cellStyle name="Normal 5" xfId="9"/>
    <cellStyle name="Percent" xfId="2" builtinId="5"/>
    <cellStyle name="Percent 2" xfId="10"/>
    <cellStyle name="Percent 2 2" xfId="13"/>
  </cellStyles>
  <dxfs count="1">
    <dxf>
      <fill>
        <patternFill>
          <bgColor indexed="43"/>
        </patternFill>
      </fill>
    </dxf>
  </dxfs>
  <tableStyles count="0" defaultTableStyle="TableStyleMedium9" defaultPivotStyle="PivotStyleLight16"/>
  <colors>
    <mruColors>
      <color rgb="FFFFFF99"/>
      <color rgb="FFFFFF6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5756960286506286"/>
          <c:y val="5.6346062544229754E-2"/>
          <c:w val="0.79995937890941204"/>
          <c:h val="0.6870996141156348"/>
        </c:manualLayout>
      </c:layout>
      <c:barChart>
        <c:barDir val="col"/>
        <c:grouping val="clustered"/>
        <c:ser>
          <c:idx val="0"/>
          <c:order val="0"/>
          <c:tx>
            <c:strRef>
              <c:f>'FB Income Statement '!$A$6</c:f>
              <c:strCache>
                <c:ptCount val="1"/>
                <c:pt idx="0">
                  <c:v>Sales</c:v>
                </c:pt>
              </c:strCache>
            </c:strRef>
          </c:tx>
          <c:cat>
            <c:numRef>
              <c:f>'FB Income Statement '!$B$4:$I$4</c:f>
              <c:numCache>
                <c:formatCode>General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</c:numCache>
            </c:numRef>
          </c:cat>
          <c:val>
            <c:numRef>
              <c:f>'FB Income Statement '!$B$6:$I$6</c:f>
              <c:numCache>
                <c:formatCode>#,##0.00</c:formatCode>
                <c:ptCount val="8"/>
                <c:pt idx="0">
                  <c:v>3711</c:v>
                </c:pt>
                <c:pt idx="1">
                  <c:v>5089</c:v>
                </c:pt>
                <c:pt idx="2">
                  <c:v>7872</c:v>
                </c:pt>
                <c:pt idx="3">
                  <c:v>12466</c:v>
                </c:pt>
                <c:pt idx="4">
                  <c:v>17927</c:v>
                </c:pt>
                <c:pt idx="5" formatCode="_(* #,##0.00_);_(* \(#,##0.00\);_(* &quot;-&quot;??_);_(@_)">
                  <c:v>24918.530000000002</c:v>
                </c:pt>
                <c:pt idx="6" formatCode="_(* #,##0.00_);_(* \(#,##0.00\);_(* &quot;-&quot;??_);_(@_)">
                  <c:v>32394.089000000004</c:v>
                </c:pt>
                <c:pt idx="7" formatCode="_(* #,##0.00_);_(* \(#,##0.00\);_(* &quot;-&quot;??_);_(@_)">
                  <c:v>39196.847690000002</c:v>
                </c:pt>
              </c:numCache>
            </c:numRef>
          </c:val>
        </c:ser>
        <c:axId val="211008896"/>
        <c:axId val="89805952"/>
      </c:barChart>
      <c:catAx>
        <c:axId val="211008896"/>
        <c:scaling>
          <c:orientation val="minMax"/>
        </c:scaling>
        <c:axPos val="b"/>
        <c:numFmt formatCode="General" sourceLinked="1"/>
        <c:tickLblPos val="nextTo"/>
        <c:crossAx val="89805952"/>
        <c:crosses val="autoZero"/>
        <c:auto val="1"/>
        <c:lblAlgn val="ctr"/>
        <c:lblOffset val="100"/>
      </c:catAx>
      <c:valAx>
        <c:axId val="89805952"/>
        <c:scaling>
          <c:orientation val="minMax"/>
        </c:scaling>
        <c:axPos val="l"/>
        <c:majorGridlines/>
        <c:numFmt formatCode="#,##0.00" sourceLinked="1"/>
        <c:tickLblPos val="nextTo"/>
        <c:crossAx val="21100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6586242344706987"/>
          <c:y val="0.81835514587980251"/>
          <c:w val="0.28969313210848624"/>
          <c:h val="0.14144670482742622"/>
        </c:manualLayout>
      </c:layout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tx>
            <c:strRef>
              <c:f>'FB Income Statement '!$A$79</c:f>
              <c:strCache>
                <c:ptCount val="1"/>
                <c:pt idx="0">
                  <c:v>Cost of Revenue as a % of Revenue</c:v>
                </c:pt>
              </c:strCache>
            </c:strRef>
          </c:tx>
          <c:val>
            <c:numRef>
              <c:f>'FB Income Statement '!$B$79:$I$79</c:f>
              <c:numCache>
                <c:formatCode>0%</c:formatCode>
                <c:ptCount val="8"/>
                <c:pt idx="0">
                  <c:v>0.23174346537321477</c:v>
                </c:pt>
                <c:pt idx="1">
                  <c:v>0.26802908233444689</c:v>
                </c:pt>
                <c:pt idx="2">
                  <c:v>0.22332317073170732</c:v>
                </c:pt>
                <c:pt idx="3">
                  <c:v>0.17543718915450024</c:v>
                </c:pt>
                <c:pt idx="4">
                  <c:v>0.15992636804819546</c:v>
                </c:pt>
                <c:pt idx="5">
                  <c:v>0.16</c:v>
                </c:pt>
                <c:pt idx="6">
                  <c:v>0.16</c:v>
                </c:pt>
                <c:pt idx="7">
                  <c:v>0.16999999999999998</c:v>
                </c:pt>
              </c:numCache>
            </c:numRef>
          </c:val>
        </c:ser>
        <c:ser>
          <c:idx val="1"/>
          <c:order val="1"/>
          <c:tx>
            <c:strRef>
              <c:f>'FB Income Statement '!$A$80</c:f>
              <c:strCache>
                <c:ptCount val="1"/>
                <c:pt idx="0">
                  <c:v>Research &amp; Development as a % of Revenue</c:v>
                </c:pt>
              </c:strCache>
            </c:strRef>
          </c:tx>
          <c:val>
            <c:numRef>
              <c:f>'FB Income Statement '!$B$80:$I$80</c:f>
              <c:numCache>
                <c:formatCode>0%</c:formatCode>
                <c:ptCount val="8"/>
                <c:pt idx="0">
                  <c:v>0.10455402856372946</c:v>
                </c:pt>
                <c:pt idx="1">
                  <c:v>0.27490666142660641</c:v>
                </c:pt>
                <c:pt idx="2">
                  <c:v>0.1797510162601626</c:v>
                </c:pt>
                <c:pt idx="3">
                  <c:v>0.21386170383442965</c:v>
                </c:pt>
                <c:pt idx="4">
                  <c:v>0.26864506052323311</c:v>
                </c:pt>
                <c:pt idx="5">
                  <c:v>0.2</c:v>
                </c:pt>
                <c:pt idx="6">
                  <c:v>0.22</c:v>
                </c:pt>
                <c:pt idx="7">
                  <c:v>0.23</c:v>
                </c:pt>
              </c:numCache>
            </c:numRef>
          </c:val>
        </c:ser>
        <c:ser>
          <c:idx val="2"/>
          <c:order val="2"/>
          <c:tx>
            <c:strRef>
              <c:f>'FB Income Statement '!$A$81</c:f>
              <c:strCache>
                <c:ptCount val="1"/>
                <c:pt idx="0">
                  <c:v>Marketing and Sales as a % of Revenue</c:v>
                </c:pt>
              </c:strCache>
            </c:strRef>
          </c:tx>
          <c:val>
            <c:numRef>
              <c:f>'FB Income Statement '!$B$81:$I$81</c:f>
              <c:numCache>
                <c:formatCode>0%</c:formatCode>
                <c:ptCount val="8"/>
                <c:pt idx="0">
                  <c:v>0.1059013742926435</c:v>
                </c:pt>
                <c:pt idx="1">
                  <c:v>0.17606602475928473</c:v>
                </c:pt>
                <c:pt idx="2">
                  <c:v>0.12665142276422764</c:v>
                </c:pt>
                <c:pt idx="3">
                  <c:v>0.13476656505695492</c:v>
                </c:pt>
                <c:pt idx="4">
                  <c:v>0.15200535505104032</c:v>
                </c:pt>
                <c:pt idx="5">
                  <c:v>0.13</c:v>
                </c:pt>
                <c:pt idx="6">
                  <c:v>0.12</c:v>
                </c:pt>
                <c:pt idx="7">
                  <c:v>0.14000000000000001</c:v>
                </c:pt>
              </c:numCache>
            </c:numRef>
          </c:val>
        </c:ser>
        <c:ser>
          <c:idx val="3"/>
          <c:order val="3"/>
          <c:tx>
            <c:strRef>
              <c:f>'FB Income Statement '!$A$82</c:f>
              <c:strCache>
                <c:ptCount val="1"/>
                <c:pt idx="0">
                  <c:v>General and Administrative as a % of Revenue</c:v>
                </c:pt>
              </c:strCache>
            </c:strRef>
          </c:tx>
          <c:val>
            <c:numRef>
              <c:f>'FB Income Statement '!$B$82:$I$82</c:f>
              <c:numCache>
                <c:formatCode>0%</c:formatCode>
                <c:ptCount val="8"/>
                <c:pt idx="0">
                  <c:v>8.461331177580167E-2</c:v>
                </c:pt>
                <c:pt idx="1">
                  <c:v>0.17528001572018079</c:v>
                </c:pt>
                <c:pt idx="2">
                  <c:v>9.921239837398374E-2</c:v>
                </c:pt>
                <c:pt idx="3">
                  <c:v>7.8052302262153053E-2</c:v>
                </c:pt>
                <c:pt idx="4">
                  <c:v>7.2237407262787975E-2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0.08</c:v>
                </c:pt>
              </c:numCache>
            </c:numRef>
          </c:val>
        </c:ser>
        <c:overlap val="100"/>
        <c:axId val="90389120"/>
        <c:axId val="90403200"/>
      </c:barChart>
      <c:catAx>
        <c:axId val="90389120"/>
        <c:scaling>
          <c:orientation val="minMax"/>
        </c:scaling>
        <c:axPos val="b"/>
        <c:tickLblPos val="nextTo"/>
        <c:crossAx val="90403200"/>
        <c:crosses val="autoZero"/>
        <c:auto val="1"/>
        <c:lblAlgn val="ctr"/>
        <c:lblOffset val="100"/>
      </c:catAx>
      <c:valAx>
        <c:axId val="90403200"/>
        <c:scaling>
          <c:orientation val="minMax"/>
        </c:scaling>
        <c:axPos val="l"/>
        <c:majorGridlines/>
        <c:numFmt formatCode="0%" sourceLinked="1"/>
        <c:tickLblPos val="nextTo"/>
        <c:crossAx val="903891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457199</xdr:colOff>
      <xdr:row>4</xdr:row>
      <xdr:rowOff>38100</xdr:rowOff>
    </xdr:from>
    <xdr:to>
      <xdr:col>21</xdr:col>
      <xdr:colOff>257175</xdr:colOff>
      <xdr:row>49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600075</xdr:colOff>
      <xdr:row>50</xdr:row>
      <xdr:rowOff>9525</xdr:rowOff>
    </xdr:from>
    <xdr:to>
      <xdr:col>21</xdr:col>
      <xdr:colOff>190500</xdr:colOff>
      <xdr:row>86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2.75"/>
  <sheetData>
    <row r="1" spans="1:2">
      <c r="B1" t="s">
        <v>345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2.75"/>
  <cols>
    <col min="1" max="1" width="86.85546875" style="1" bestFit="1" customWidth="1"/>
    <col min="2" max="16384" width="9.140625" style="1"/>
  </cols>
  <sheetData>
    <row r="1" spans="1:1" ht="59.25">
      <c r="A1" s="30" t="s">
        <v>104</v>
      </c>
    </row>
    <row r="2" spans="1:1">
      <c r="A2" s="31"/>
    </row>
    <row r="3" spans="1:1" ht="25.5">
      <c r="A3" s="32" t="s">
        <v>105</v>
      </c>
    </row>
    <row r="5" spans="1:1" ht="18">
      <c r="A5" s="33">
        <v>42473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2.75"/>
  <cols>
    <col min="1" max="1" width="42.85546875" style="1" bestFit="1" customWidth="1"/>
    <col min="2" max="4" width="8.140625" style="1" bestFit="1" customWidth="1"/>
    <col min="5" max="6" width="9.140625" style="1" bestFit="1" customWidth="1"/>
    <col min="7" max="7" width="10.5703125" style="2" bestFit="1" customWidth="1"/>
    <col min="8" max="9" width="10.28515625" style="2" bestFit="1" customWidth="1"/>
    <col min="10" max="16384" width="9.140625" style="1"/>
  </cols>
  <sheetData>
    <row r="1" spans="1:9" ht="15.75">
      <c r="A1" s="15" t="s">
        <v>75</v>
      </c>
      <c r="G1" s="1"/>
      <c r="H1" s="1"/>
      <c r="I1" s="1"/>
    </row>
    <row r="2" spans="1:9">
      <c r="G2" s="1"/>
      <c r="H2" s="1"/>
      <c r="I2" s="1"/>
    </row>
    <row r="3" spans="1:9">
      <c r="B3" s="2" t="s">
        <v>74</v>
      </c>
      <c r="C3" s="2" t="s">
        <v>74</v>
      </c>
      <c r="D3" s="2" t="s">
        <v>74</v>
      </c>
      <c r="E3" s="2" t="s">
        <v>74</v>
      </c>
      <c r="F3" s="2" t="s">
        <v>74</v>
      </c>
      <c r="G3" s="3" t="s">
        <v>73</v>
      </c>
      <c r="H3" s="3" t="s">
        <v>73</v>
      </c>
      <c r="I3" s="3" t="s">
        <v>73</v>
      </c>
    </row>
    <row r="4" spans="1:9">
      <c r="A4" s="1" t="s">
        <v>72</v>
      </c>
      <c r="B4" s="1">
        <v>2011</v>
      </c>
      <c r="C4" s="1">
        <v>2012</v>
      </c>
      <c r="D4" s="1">
        <v>2013</v>
      </c>
      <c r="E4" s="1">
        <v>2014</v>
      </c>
      <c r="F4" s="1">
        <v>2015</v>
      </c>
      <c r="G4" s="1">
        <v>2016</v>
      </c>
      <c r="H4" s="1">
        <v>2017</v>
      </c>
      <c r="I4" s="1">
        <v>2018</v>
      </c>
    </row>
    <row r="5" spans="1:9" ht="15.75">
      <c r="A5" s="26" t="s">
        <v>71</v>
      </c>
      <c r="B5" s="25"/>
      <c r="C5" s="25"/>
      <c r="D5" s="25"/>
      <c r="E5" s="25"/>
      <c r="F5" s="25"/>
      <c r="G5" s="1"/>
      <c r="H5" s="1"/>
      <c r="I5" s="1"/>
    </row>
    <row r="6" spans="1:9" ht="13.5" customHeight="1">
      <c r="A6" s="5" t="s">
        <v>70</v>
      </c>
      <c r="B6" s="24">
        <v>3711</v>
      </c>
      <c r="C6" s="24">
        <v>5089</v>
      </c>
      <c r="D6" s="24">
        <v>7872</v>
      </c>
      <c r="E6" s="24">
        <v>12466</v>
      </c>
      <c r="F6" s="24">
        <v>17927</v>
      </c>
      <c r="G6" s="23">
        <f>F6*(1+G73)</f>
        <v>24918.530000000002</v>
      </c>
      <c r="H6" s="23">
        <f>G6*(1+H73)</f>
        <v>32394.089000000004</v>
      </c>
      <c r="I6" s="23">
        <f>H6*(1+I73)</f>
        <v>39196.847690000002</v>
      </c>
    </row>
    <row r="7" spans="1:9">
      <c r="A7" s="34" t="s">
        <v>106</v>
      </c>
      <c r="B7" s="4">
        <v>860</v>
      </c>
      <c r="C7" s="4">
        <v>1364</v>
      </c>
      <c r="D7" s="4">
        <v>1758</v>
      </c>
      <c r="E7" s="4">
        <v>2187</v>
      </c>
      <c r="F7" s="4">
        <v>2867</v>
      </c>
      <c r="G7" s="22">
        <f>G8+G9</f>
        <v>3986.9648000000007</v>
      </c>
      <c r="H7" s="22">
        <f>H8+H9</f>
        <v>5183.0542400000004</v>
      </c>
      <c r="I7" s="22">
        <f>I8+I9</f>
        <v>6663.4641073000003</v>
      </c>
    </row>
    <row r="8" spans="1:9" hidden="1">
      <c r="A8" s="5" t="s">
        <v>69</v>
      </c>
      <c r="B8" s="4">
        <v>537</v>
      </c>
      <c r="C8" s="4">
        <v>715</v>
      </c>
      <c r="D8" s="4">
        <v>747</v>
      </c>
      <c r="E8" s="4">
        <v>944</v>
      </c>
      <c r="F8" s="4">
        <v>922</v>
      </c>
      <c r="G8" s="22">
        <f>G6*G78</f>
        <v>1495.1118000000001</v>
      </c>
      <c r="H8" s="22">
        <f>H6*H78</f>
        <v>1943.64534</v>
      </c>
      <c r="I8" s="22">
        <f>I6*I78</f>
        <v>2351.8108614000002</v>
      </c>
    </row>
    <row r="9" spans="1:9" hidden="1">
      <c r="A9" s="5" t="s">
        <v>22</v>
      </c>
      <c r="B9" s="4">
        <v>323</v>
      </c>
      <c r="C9" s="4">
        <v>649</v>
      </c>
      <c r="D9" s="4">
        <v>1011</v>
      </c>
      <c r="E9" s="4">
        <v>1243</v>
      </c>
      <c r="F9" s="4">
        <v>1945</v>
      </c>
      <c r="G9" s="22">
        <f>G77*G6</f>
        <v>2491.8530000000005</v>
      </c>
      <c r="H9" s="22">
        <f>H77*H6</f>
        <v>3239.4089000000004</v>
      </c>
      <c r="I9" s="22">
        <f>I77*I6</f>
        <v>4311.6532459</v>
      </c>
    </row>
    <row r="10" spans="1:9" hidden="1">
      <c r="A10" s="5" t="s">
        <v>68</v>
      </c>
      <c r="B10" s="4">
        <v>303</v>
      </c>
      <c r="C10" s="4">
        <v>571</v>
      </c>
      <c r="D10" s="4">
        <v>866</v>
      </c>
      <c r="E10" s="4">
        <v>924</v>
      </c>
      <c r="F10" s="4">
        <v>1215</v>
      </c>
    </row>
    <row r="11" spans="1:9" hidden="1">
      <c r="A11" s="5" t="s">
        <v>67</v>
      </c>
      <c r="B11" s="4">
        <v>20</v>
      </c>
      <c r="C11" s="4">
        <v>78</v>
      </c>
      <c r="D11" s="4">
        <v>145</v>
      </c>
      <c r="E11" s="4">
        <v>319</v>
      </c>
      <c r="F11" s="4">
        <v>730</v>
      </c>
    </row>
    <row r="12" spans="1:9" hidden="1">
      <c r="A12" s="5" t="s">
        <v>66</v>
      </c>
      <c r="B12" s="4" t="s">
        <v>14</v>
      </c>
      <c r="C12" s="4" t="s">
        <v>14</v>
      </c>
      <c r="D12" s="4" t="s">
        <v>14</v>
      </c>
      <c r="E12" s="4" t="s">
        <v>14</v>
      </c>
      <c r="F12" s="4" t="s">
        <v>14</v>
      </c>
    </row>
    <row r="13" spans="1:9" ht="15">
      <c r="A13" s="17" t="s">
        <v>65</v>
      </c>
      <c r="B13" s="19">
        <f t="shared" ref="B13:I13" si="0">B6-B7</f>
        <v>2851</v>
      </c>
      <c r="C13" s="19">
        <f t="shared" si="0"/>
        <v>3725</v>
      </c>
      <c r="D13" s="19">
        <f t="shared" si="0"/>
        <v>6114</v>
      </c>
      <c r="E13" s="19">
        <f t="shared" si="0"/>
        <v>10279</v>
      </c>
      <c r="F13" s="19">
        <f t="shared" si="0"/>
        <v>15060</v>
      </c>
      <c r="G13" s="19">
        <f t="shared" si="0"/>
        <v>20931.565200000001</v>
      </c>
      <c r="H13" s="19">
        <f t="shared" si="0"/>
        <v>27211.034760000002</v>
      </c>
      <c r="I13" s="19">
        <f t="shared" si="0"/>
        <v>32533.3835827</v>
      </c>
    </row>
    <row r="14" spans="1:9" hidden="1">
      <c r="A14" s="5" t="s">
        <v>64</v>
      </c>
      <c r="B14" s="4">
        <v>1095</v>
      </c>
      <c r="C14" s="4">
        <v>3187</v>
      </c>
      <c r="D14" s="4">
        <v>3193</v>
      </c>
      <c r="E14" s="4">
        <v>5319</v>
      </c>
      <c r="F14" s="4">
        <v>8836</v>
      </c>
      <c r="G14" s="21">
        <f>G76*G6</f>
        <v>9967.4120000000021</v>
      </c>
      <c r="H14" s="21">
        <f>H76*H6</f>
        <v>13605.517380000001</v>
      </c>
      <c r="I14" s="21">
        <f>I76*I6</f>
        <v>15678.739076000002</v>
      </c>
    </row>
    <row r="15" spans="1:9">
      <c r="A15" s="5" t="s">
        <v>63</v>
      </c>
      <c r="B15" s="4">
        <v>388</v>
      </c>
      <c r="C15" s="4">
        <v>1399</v>
      </c>
      <c r="D15" s="4">
        <v>1415</v>
      </c>
      <c r="E15" s="4">
        <v>2666</v>
      </c>
      <c r="F15" s="4">
        <v>4816</v>
      </c>
      <c r="G15" s="22">
        <f>G80*G6</f>
        <v>4983.706000000001</v>
      </c>
      <c r="H15" s="22">
        <f t="shared" ref="H15:I15" si="1">H80*H6</f>
        <v>7126.6995800000004</v>
      </c>
      <c r="I15" s="22">
        <f t="shared" si="1"/>
        <v>9015.2749687000014</v>
      </c>
    </row>
    <row r="16" spans="1:9">
      <c r="A16" s="34" t="s">
        <v>108</v>
      </c>
      <c r="B16" s="37">
        <v>393</v>
      </c>
      <c r="C16" s="37">
        <v>896</v>
      </c>
      <c r="D16" s="37">
        <v>997</v>
      </c>
      <c r="E16" s="37">
        <v>1680</v>
      </c>
      <c r="F16" s="37">
        <v>2725</v>
      </c>
      <c r="G16" s="22">
        <f>G81*G6</f>
        <v>3239.4089000000004</v>
      </c>
      <c r="H16" s="22">
        <f t="shared" ref="H16:I16" si="2">H81*H6</f>
        <v>3887.2906800000001</v>
      </c>
      <c r="I16" s="22">
        <f t="shared" si="2"/>
        <v>5487.5586766000006</v>
      </c>
    </row>
    <row r="17" spans="1:9">
      <c r="A17" s="34" t="s">
        <v>109</v>
      </c>
      <c r="B17" s="37">
        <v>314</v>
      </c>
      <c r="C17" s="37">
        <v>892</v>
      </c>
      <c r="D17" s="37">
        <v>781</v>
      </c>
      <c r="E17" s="37">
        <v>973</v>
      </c>
      <c r="F17" s="37">
        <v>1295</v>
      </c>
      <c r="G17" s="21">
        <f>G82*G6</f>
        <v>1744.2971000000002</v>
      </c>
      <c r="H17" s="21">
        <f t="shared" ref="H17:I17" si="3">H82*H6</f>
        <v>2591.5271200000002</v>
      </c>
      <c r="I17" s="21">
        <f t="shared" si="3"/>
        <v>3135.7478152000003</v>
      </c>
    </row>
    <row r="18" spans="1:9" ht="15">
      <c r="A18" s="17" t="s">
        <v>62</v>
      </c>
      <c r="B18" s="19">
        <f>B13-SUM(B15:B17)</f>
        <v>1756</v>
      </c>
      <c r="C18" s="19">
        <f t="shared" ref="C18:I18" si="4">C13-SUM(C15:C17)</f>
        <v>538</v>
      </c>
      <c r="D18" s="19">
        <f t="shared" si="4"/>
        <v>2921</v>
      </c>
      <c r="E18" s="19">
        <f t="shared" si="4"/>
        <v>4960</v>
      </c>
      <c r="F18" s="19">
        <f t="shared" si="4"/>
        <v>6224</v>
      </c>
      <c r="G18" s="19">
        <f t="shared" si="4"/>
        <v>10964.153200000001</v>
      </c>
      <c r="H18" s="19">
        <f t="shared" si="4"/>
        <v>13605.517380000001</v>
      </c>
      <c r="I18" s="19">
        <f t="shared" si="4"/>
        <v>14894.802122199999</v>
      </c>
    </row>
    <row r="19" spans="1:9">
      <c r="A19" s="5" t="s">
        <v>61</v>
      </c>
      <c r="B19" s="4">
        <v>-19</v>
      </c>
      <c r="C19" s="4">
        <v>7</v>
      </c>
      <c r="D19" s="4">
        <v>6</v>
      </c>
      <c r="E19" s="4">
        <v>-61</v>
      </c>
      <c r="F19" s="4">
        <v>-8</v>
      </c>
      <c r="G19" s="18">
        <f t="shared" ref="G19:I22" si="5">G86</f>
        <v>-10</v>
      </c>
      <c r="H19" s="18">
        <f t="shared" si="5"/>
        <v>-5</v>
      </c>
      <c r="I19" s="18">
        <f t="shared" si="5"/>
        <v>-11</v>
      </c>
    </row>
    <row r="20" spans="1:9" hidden="1">
      <c r="A20" s="5" t="s">
        <v>60</v>
      </c>
      <c r="B20" s="4">
        <v>0</v>
      </c>
      <c r="C20" s="4">
        <v>14</v>
      </c>
      <c r="D20" s="4">
        <v>19</v>
      </c>
      <c r="E20" s="4">
        <v>27</v>
      </c>
      <c r="F20" s="4">
        <v>52</v>
      </c>
      <c r="G20" s="18">
        <f t="shared" si="5"/>
        <v>30</v>
      </c>
      <c r="H20" s="18">
        <f t="shared" si="5"/>
        <v>30</v>
      </c>
      <c r="I20" s="18">
        <f t="shared" si="5"/>
        <v>38</v>
      </c>
    </row>
    <row r="21" spans="1:9" hidden="1">
      <c r="A21" s="5" t="s">
        <v>38</v>
      </c>
      <c r="B21" s="4" t="s">
        <v>14</v>
      </c>
      <c r="C21" s="4">
        <v>0</v>
      </c>
      <c r="D21" s="4">
        <v>0</v>
      </c>
      <c r="E21" s="4">
        <v>0</v>
      </c>
      <c r="F21" s="4">
        <v>0</v>
      </c>
      <c r="G21" s="18">
        <f t="shared" si="5"/>
        <v>0</v>
      </c>
      <c r="H21" s="18">
        <f t="shared" si="5"/>
        <v>0</v>
      </c>
      <c r="I21" s="18">
        <f t="shared" si="5"/>
        <v>0</v>
      </c>
    </row>
    <row r="22" spans="1:9" hidden="1">
      <c r="A22" s="5" t="s">
        <v>59</v>
      </c>
      <c r="B22" s="4">
        <v>-19</v>
      </c>
      <c r="C22" s="4">
        <v>-7</v>
      </c>
      <c r="D22" s="4">
        <v>-13</v>
      </c>
      <c r="E22" s="4">
        <v>-88</v>
      </c>
      <c r="F22" s="4">
        <v>-60</v>
      </c>
      <c r="G22" s="18">
        <f t="shared" si="5"/>
        <v>0</v>
      </c>
      <c r="H22" s="18">
        <f t="shared" si="5"/>
        <v>0</v>
      </c>
      <c r="I22" s="18">
        <f t="shared" si="5"/>
        <v>0</v>
      </c>
    </row>
    <row r="23" spans="1:9">
      <c r="A23" s="5" t="s">
        <v>58</v>
      </c>
      <c r="B23" s="4">
        <v>42</v>
      </c>
      <c r="C23" s="4">
        <v>51</v>
      </c>
      <c r="D23" s="4">
        <v>56</v>
      </c>
      <c r="E23" s="4">
        <v>23</v>
      </c>
      <c r="F23" s="4">
        <v>23</v>
      </c>
      <c r="G23" s="18">
        <f>G87</f>
        <v>30</v>
      </c>
      <c r="H23" s="18">
        <f>H87</f>
        <v>30</v>
      </c>
      <c r="I23" s="18">
        <f>I87</f>
        <v>38</v>
      </c>
    </row>
    <row r="24" spans="1:9" hidden="1">
      <c r="A24" s="5" t="s">
        <v>57</v>
      </c>
      <c r="B24" s="4">
        <v>42</v>
      </c>
      <c r="C24" s="4">
        <v>51</v>
      </c>
      <c r="D24" s="4">
        <v>56</v>
      </c>
      <c r="E24" s="4">
        <v>23</v>
      </c>
      <c r="F24" s="4">
        <v>23</v>
      </c>
      <c r="G24" s="18">
        <f t="shared" ref="G24:I25" si="6">G91</f>
        <v>0.4</v>
      </c>
      <c r="H24" s="18">
        <f t="shared" si="6"/>
        <v>0.4</v>
      </c>
      <c r="I24" s="18">
        <f t="shared" si="6"/>
        <v>0.26</v>
      </c>
    </row>
    <row r="25" spans="1:9" hidden="1">
      <c r="A25" s="5" t="s">
        <v>56</v>
      </c>
      <c r="B25" s="4">
        <v>0</v>
      </c>
      <c r="C25" s="4" t="s">
        <v>14</v>
      </c>
      <c r="D25" s="4" t="s">
        <v>14</v>
      </c>
      <c r="E25" s="4">
        <v>0</v>
      </c>
      <c r="F25" s="4">
        <v>0</v>
      </c>
      <c r="G25" s="18">
        <f t="shared" si="6"/>
        <v>0</v>
      </c>
      <c r="H25" s="18">
        <f t="shared" si="6"/>
        <v>0</v>
      </c>
      <c r="I25" s="18">
        <f t="shared" si="6"/>
        <v>0</v>
      </c>
    </row>
    <row r="26" spans="1:9">
      <c r="A26" s="5" t="s">
        <v>55</v>
      </c>
      <c r="B26" s="4">
        <v>0</v>
      </c>
      <c r="C26" s="4">
        <v>0</v>
      </c>
      <c r="D26" s="4">
        <v>117</v>
      </c>
      <c r="E26" s="4">
        <v>-34</v>
      </c>
      <c r="F26" s="4">
        <v>0</v>
      </c>
      <c r="G26" s="18">
        <f>G88</f>
        <v>0</v>
      </c>
      <c r="H26" s="18">
        <f>H88</f>
        <v>0</v>
      </c>
      <c r="I26" s="18">
        <f>I88</f>
        <v>0</v>
      </c>
    </row>
    <row r="27" spans="1:9" hidden="1">
      <c r="A27" s="5" t="s">
        <v>54</v>
      </c>
      <c r="B27" s="4" t="s">
        <v>14</v>
      </c>
      <c r="C27" s="4" t="s">
        <v>14</v>
      </c>
      <c r="D27" s="4" t="s">
        <v>14</v>
      </c>
      <c r="E27" s="4" t="s">
        <v>14</v>
      </c>
      <c r="F27" s="4" t="s">
        <v>14</v>
      </c>
    </row>
    <row r="28" spans="1:9" hidden="1">
      <c r="A28" s="5" t="s">
        <v>53</v>
      </c>
      <c r="B28" s="4" t="s">
        <v>14</v>
      </c>
      <c r="C28" s="4" t="s">
        <v>14</v>
      </c>
      <c r="D28" s="4" t="s">
        <v>14</v>
      </c>
      <c r="E28" s="4" t="s">
        <v>14</v>
      </c>
      <c r="F28" s="4" t="s">
        <v>14</v>
      </c>
    </row>
    <row r="29" spans="1:9" hidden="1">
      <c r="A29" s="5" t="s">
        <v>52</v>
      </c>
      <c r="B29" s="4" t="s">
        <v>14</v>
      </c>
      <c r="C29" s="4">
        <v>0</v>
      </c>
      <c r="D29" s="4" t="s">
        <v>14</v>
      </c>
      <c r="E29" s="4">
        <v>0</v>
      </c>
      <c r="F29" s="4">
        <v>0</v>
      </c>
    </row>
    <row r="30" spans="1:9" hidden="1">
      <c r="A30" s="5" t="s">
        <v>51</v>
      </c>
      <c r="B30" s="4" t="s">
        <v>14</v>
      </c>
      <c r="C30" s="4" t="s">
        <v>14</v>
      </c>
      <c r="D30" s="4">
        <v>117</v>
      </c>
      <c r="E30" s="4" t="s">
        <v>14</v>
      </c>
      <c r="F30" s="4" t="s">
        <v>14</v>
      </c>
    </row>
    <row r="31" spans="1:9" hidden="1">
      <c r="A31" s="5" t="s">
        <v>50</v>
      </c>
      <c r="B31" s="4" t="s">
        <v>14</v>
      </c>
      <c r="C31" s="4" t="s">
        <v>14</v>
      </c>
      <c r="D31" s="4" t="s">
        <v>14</v>
      </c>
      <c r="E31" s="4" t="s">
        <v>14</v>
      </c>
      <c r="F31" s="4" t="s">
        <v>14</v>
      </c>
    </row>
    <row r="32" spans="1:9" hidden="1">
      <c r="A32" s="5" t="s">
        <v>49</v>
      </c>
      <c r="B32" s="4" t="s">
        <v>14</v>
      </c>
      <c r="C32" s="4" t="s">
        <v>14</v>
      </c>
      <c r="D32" s="4" t="s">
        <v>14</v>
      </c>
      <c r="E32" s="4" t="s">
        <v>14</v>
      </c>
      <c r="F32" s="4" t="s">
        <v>14</v>
      </c>
    </row>
    <row r="33" spans="1:9" hidden="1">
      <c r="A33" s="5" t="s">
        <v>48</v>
      </c>
      <c r="B33" s="4" t="s">
        <v>14</v>
      </c>
      <c r="C33" s="4" t="s">
        <v>14</v>
      </c>
      <c r="D33" s="4" t="s">
        <v>14</v>
      </c>
      <c r="E33" s="4" t="s">
        <v>14</v>
      </c>
      <c r="F33" s="4" t="s">
        <v>14</v>
      </c>
    </row>
    <row r="34" spans="1:9" hidden="1">
      <c r="A34" s="5" t="s">
        <v>47</v>
      </c>
      <c r="B34" s="4" t="s">
        <v>14</v>
      </c>
      <c r="C34" s="4" t="s">
        <v>14</v>
      </c>
      <c r="D34" s="4" t="s">
        <v>14</v>
      </c>
      <c r="E34" s="4" t="s">
        <v>14</v>
      </c>
      <c r="F34" s="4" t="s">
        <v>14</v>
      </c>
    </row>
    <row r="35" spans="1:9" hidden="1">
      <c r="A35" s="5" t="s">
        <v>46</v>
      </c>
      <c r="B35" s="4">
        <v>0</v>
      </c>
      <c r="C35" s="4">
        <v>0</v>
      </c>
      <c r="D35" s="4">
        <v>0</v>
      </c>
      <c r="E35" s="4">
        <v>-34</v>
      </c>
      <c r="F35" s="4">
        <v>0</v>
      </c>
    </row>
    <row r="36" spans="1:9" ht="15">
      <c r="A36" s="17" t="s">
        <v>45</v>
      </c>
      <c r="B36" s="19">
        <f t="shared" ref="B36:I36" si="7">B18+B19-B23-B26</f>
        <v>1695</v>
      </c>
      <c r="C36" s="19">
        <f t="shared" si="7"/>
        <v>494</v>
      </c>
      <c r="D36" s="19">
        <f t="shared" si="7"/>
        <v>2754</v>
      </c>
      <c r="E36" s="19">
        <f t="shared" si="7"/>
        <v>4910</v>
      </c>
      <c r="F36" s="19">
        <f t="shared" si="7"/>
        <v>6193</v>
      </c>
      <c r="G36" s="19">
        <f t="shared" si="7"/>
        <v>10924.153200000001</v>
      </c>
      <c r="H36" s="19">
        <f t="shared" si="7"/>
        <v>13570.517380000001</v>
      </c>
      <c r="I36" s="19">
        <f t="shared" si="7"/>
        <v>14845.802122199999</v>
      </c>
    </row>
    <row r="37" spans="1:9">
      <c r="A37" s="5" t="s">
        <v>44</v>
      </c>
      <c r="B37" s="4">
        <f t="shared" ref="B37:I37" si="8">B36*(B93/100)</f>
        <v>695</v>
      </c>
      <c r="C37" s="4">
        <f t="shared" si="8"/>
        <v>441</v>
      </c>
      <c r="D37" s="4">
        <f t="shared" si="8"/>
        <v>1254</v>
      </c>
      <c r="E37" s="4">
        <f t="shared" si="8"/>
        <v>1970</v>
      </c>
      <c r="F37" s="4">
        <f t="shared" si="8"/>
        <v>2505.5954149176623</v>
      </c>
      <c r="G37" s="4">
        <f t="shared" si="8"/>
        <v>4478.9028120000003</v>
      </c>
      <c r="H37" s="4">
        <f t="shared" si="8"/>
        <v>5563.9121258000005</v>
      </c>
      <c r="I37" s="4">
        <f t="shared" si="8"/>
        <v>6086.778870101999</v>
      </c>
    </row>
    <row r="38" spans="1:9" hidden="1">
      <c r="A38" s="5" t="s">
        <v>43</v>
      </c>
      <c r="B38" s="4" t="s">
        <v>14</v>
      </c>
      <c r="C38" s="4">
        <v>604</v>
      </c>
      <c r="D38" s="4">
        <v>1223</v>
      </c>
      <c r="E38" s="4">
        <v>2129</v>
      </c>
      <c r="F38" s="4">
        <v>3195</v>
      </c>
    </row>
    <row r="39" spans="1:9" hidden="1">
      <c r="A39" s="5" t="s">
        <v>42</v>
      </c>
      <c r="B39" s="4" t="s">
        <v>14</v>
      </c>
      <c r="C39" s="4">
        <v>22</v>
      </c>
      <c r="D39" s="4">
        <v>68</v>
      </c>
      <c r="E39" s="4">
        <v>96</v>
      </c>
      <c r="F39" s="4">
        <v>123</v>
      </c>
    </row>
    <row r="40" spans="1:9" hidden="1">
      <c r="A40" s="5" t="s">
        <v>41</v>
      </c>
      <c r="B40" s="4" t="s">
        <v>14</v>
      </c>
      <c r="C40" s="4">
        <v>-178</v>
      </c>
      <c r="D40" s="4">
        <v>-35</v>
      </c>
      <c r="E40" s="4">
        <v>-254</v>
      </c>
      <c r="F40" s="4">
        <v>-817</v>
      </c>
    </row>
    <row r="41" spans="1:9" hidden="1">
      <c r="A41" s="5" t="s">
        <v>40</v>
      </c>
      <c r="B41" s="4" t="s">
        <v>14</v>
      </c>
      <c r="C41" s="4">
        <v>-7</v>
      </c>
      <c r="D41" s="4">
        <v>-2</v>
      </c>
      <c r="E41" s="4">
        <v>-1</v>
      </c>
      <c r="F41" s="4">
        <v>5</v>
      </c>
    </row>
    <row r="42" spans="1:9" hidden="1">
      <c r="A42" s="5" t="s">
        <v>39</v>
      </c>
      <c r="B42" s="4" t="s">
        <v>14</v>
      </c>
      <c r="C42" s="4" t="s">
        <v>14</v>
      </c>
      <c r="D42" s="4" t="s">
        <v>14</v>
      </c>
      <c r="E42" s="4" t="s">
        <v>14</v>
      </c>
      <c r="F42" s="4" t="s">
        <v>14</v>
      </c>
    </row>
    <row r="43" spans="1:9" hidden="1">
      <c r="A43" s="5" t="s">
        <v>38</v>
      </c>
      <c r="B43" s="4" t="s">
        <v>14</v>
      </c>
      <c r="C43" s="4">
        <v>0</v>
      </c>
      <c r="D43" s="4">
        <v>0</v>
      </c>
      <c r="E43" s="4">
        <v>0</v>
      </c>
      <c r="F43" s="4">
        <v>0</v>
      </c>
    </row>
    <row r="44" spans="1:9" hidden="1">
      <c r="A44" s="5" t="s">
        <v>37</v>
      </c>
      <c r="B44" s="4">
        <v>0</v>
      </c>
      <c r="C44" s="4">
        <v>-21</v>
      </c>
      <c r="D44" s="4">
        <v>-9</v>
      </c>
      <c r="E44" s="4">
        <v>-15</v>
      </c>
      <c r="F44" s="4">
        <v>-19</v>
      </c>
      <c r="G44" s="3">
        <v>-15</v>
      </c>
      <c r="H44" s="3">
        <v>-10</v>
      </c>
      <c r="I44" s="3">
        <v>-17</v>
      </c>
    </row>
    <row r="45" spans="1:9" ht="11.25" customHeight="1">
      <c r="A45" s="5" t="s">
        <v>36</v>
      </c>
      <c r="B45" s="20">
        <f t="shared" ref="B45:I45" si="9">B36-B37+B44</f>
        <v>1000</v>
      </c>
      <c r="C45" s="20">
        <f t="shared" si="9"/>
        <v>32</v>
      </c>
      <c r="D45" s="20">
        <f t="shared" si="9"/>
        <v>1491</v>
      </c>
      <c r="E45" s="20">
        <f t="shared" si="9"/>
        <v>2925</v>
      </c>
      <c r="F45" s="20">
        <f t="shared" si="9"/>
        <v>3668.4045850823377</v>
      </c>
      <c r="G45" s="20">
        <f t="shared" si="9"/>
        <v>6430.2503880000004</v>
      </c>
      <c r="H45" s="20">
        <f t="shared" si="9"/>
        <v>7996.6052542000007</v>
      </c>
      <c r="I45" s="20">
        <f t="shared" si="9"/>
        <v>8742.0232520979989</v>
      </c>
    </row>
    <row r="46" spans="1:9">
      <c r="A46" s="5" t="s">
        <v>35</v>
      </c>
      <c r="B46" s="4">
        <v>332</v>
      </c>
      <c r="C46" s="4">
        <v>0</v>
      </c>
      <c r="D46" s="4">
        <v>0</v>
      </c>
      <c r="E46" s="4">
        <v>0</v>
      </c>
      <c r="F46" s="4">
        <v>0</v>
      </c>
      <c r="G46" s="18">
        <v>0</v>
      </c>
      <c r="H46" s="18">
        <v>0</v>
      </c>
      <c r="I46" s="18">
        <v>0</v>
      </c>
    </row>
    <row r="47" spans="1:9" ht="15">
      <c r="A47" s="17" t="s">
        <v>34</v>
      </c>
      <c r="B47" s="19">
        <f t="shared" ref="B47:I47" si="10">B45-B46</f>
        <v>668</v>
      </c>
      <c r="C47" s="19">
        <f t="shared" si="10"/>
        <v>32</v>
      </c>
      <c r="D47" s="19">
        <f t="shared" si="10"/>
        <v>1491</v>
      </c>
      <c r="E47" s="19">
        <f t="shared" si="10"/>
        <v>2925</v>
      </c>
      <c r="F47" s="19">
        <f t="shared" si="10"/>
        <v>3668.4045850823377</v>
      </c>
      <c r="G47" s="19">
        <f t="shared" si="10"/>
        <v>6430.2503880000004</v>
      </c>
      <c r="H47" s="19">
        <f t="shared" si="10"/>
        <v>7996.6052542000007</v>
      </c>
      <c r="I47" s="19">
        <f t="shared" si="10"/>
        <v>8742.0232520979989</v>
      </c>
    </row>
    <row r="48" spans="1:9" hidden="1">
      <c r="A48" s="5" t="s">
        <v>33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</row>
    <row r="49" spans="1:9" hidden="1">
      <c r="A49" s="5" t="s">
        <v>32</v>
      </c>
      <c r="B49" s="4">
        <v>668</v>
      </c>
      <c r="C49" s="4">
        <v>32</v>
      </c>
      <c r="D49" s="4">
        <v>1491</v>
      </c>
      <c r="E49" s="4">
        <v>2925</v>
      </c>
      <c r="F49" s="4">
        <v>3669</v>
      </c>
    </row>
    <row r="50" spans="1:9">
      <c r="A50" s="101"/>
      <c r="B50" s="102"/>
      <c r="C50" s="102"/>
      <c r="D50" s="102"/>
      <c r="E50" s="102"/>
      <c r="F50" s="102"/>
    </row>
    <row r="51" spans="1:9">
      <c r="A51" s="5" t="s">
        <v>31</v>
      </c>
      <c r="B51" s="4">
        <v>0.46352785145888592</v>
      </c>
      <c r="C51" s="4">
        <v>1.4773776546629732E-2</v>
      </c>
      <c r="D51" s="4">
        <v>0.79654350417163289</v>
      </c>
      <c r="E51" s="4">
        <v>1.089039039039039</v>
      </c>
      <c r="F51" s="4">
        <v>1.2860147213459516</v>
      </c>
      <c r="G51" s="18">
        <f t="shared" ref="G51:I52" si="11">F51*(G90+1)</f>
        <v>1.8004206098843321</v>
      </c>
      <c r="H51" s="18">
        <f t="shared" si="11"/>
        <v>2.5205888538380647</v>
      </c>
      <c r="I51" s="18">
        <f t="shared" si="11"/>
        <v>3.1759419558359614</v>
      </c>
    </row>
    <row r="52" spans="1:9">
      <c r="A52" s="5" t="s">
        <v>30</v>
      </c>
      <c r="B52" s="4">
        <v>0.443</v>
      </c>
      <c r="C52" s="4">
        <v>0.01</v>
      </c>
      <c r="D52" s="4">
        <v>0.6</v>
      </c>
      <c r="E52" s="4">
        <v>1.1000000000000001</v>
      </c>
      <c r="F52" s="4">
        <v>1.29</v>
      </c>
      <c r="G52" s="18">
        <f t="shared" si="11"/>
        <v>1.8059999999999998</v>
      </c>
      <c r="H52" s="18">
        <f t="shared" si="11"/>
        <v>2.5283999999999995</v>
      </c>
      <c r="I52" s="18">
        <f t="shared" si="11"/>
        <v>3.1857839999999995</v>
      </c>
    </row>
    <row r="53" spans="1:9" hidden="1">
      <c r="A53" s="5" t="s">
        <v>29</v>
      </c>
      <c r="B53" s="4">
        <v>1508</v>
      </c>
      <c r="C53" s="4">
        <v>2166</v>
      </c>
      <c r="D53" s="4">
        <v>2517</v>
      </c>
      <c r="E53" s="4">
        <v>2664</v>
      </c>
      <c r="F53" s="4">
        <v>2853</v>
      </c>
    </row>
    <row r="54" spans="1:9" hidden="1">
      <c r="A54" s="5" t="s">
        <v>28</v>
      </c>
      <c r="B54" s="4">
        <v>1899</v>
      </c>
      <c r="C54" s="4">
        <v>2372.705195</v>
      </c>
      <c r="D54" s="4">
        <v>2546.5840920000001</v>
      </c>
      <c r="E54" s="4">
        <v>2796.9052080000001</v>
      </c>
      <c r="F54" s="4">
        <v>2845</v>
      </c>
    </row>
    <row r="55" spans="1:9" hidden="1">
      <c r="A55" s="5" t="s">
        <v>27</v>
      </c>
      <c r="B55" s="4">
        <v>45.927999999999997</v>
      </c>
      <c r="C55" s="4">
        <v>42.218000000000004</v>
      </c>
      <c r="D55" s="4">
        <v>94.245999999999995</v>
      </c>
      <c r="E55" s="4">
        <v>55.091999999999999</v>
      </c>
      <c r="F55" s="4">
        <v>83.677999999999997</v>
      </c>
    </row>
    <row r="56" spans="1:9" hidden="1">
      <c r="A56" s="5" t="s">
        <v>26</v>
      </c>
      <c r="B56" s="4" t="s">
        <v>14</v>
      </c>
      <c r="C56" s="4">
        <v>0</v>
      </c>
      <c r="D56" s="4">
        <v>0</v>
      </c>
      <c r="E56" s="4">
        <v>0</v>
      </c>
      <c r="F56" s="4">
        <v>0</v>
      </c>
    </row>
    <row r="57" spans="1:9" hidden="1">
      <c r="A57" s="5" t="s">
        <v>25</v>
      </c>
      <c r="B57" s="4" t="s">
        <v>14</v>
      </c>
      <c r="C57" s="4">
        <v>0</v>
      </c>
      <c r="D57" s="4">
        <v>0</v>
      </c>
      <c r="E57" s="4">
        <v>0</v>
      </c>
      <c r="F57" s="4">
        <v>0</v>
      </c>
    </row>
    <row r="58" spans="1:9">
      <c r="A58" s="101"/>
      <c r="B58" s="102"/>
      <c r="C58" s="102"/>
      <c r="D58" s="102"/>
      <c r="E58" s="102"/>
      <c r="F58" s="102"/>
    </row>
    <row r="59" spans="1:9" ht="15">
      <c r="A59" s="17" t="s">
        <v>24</v>
      </c>
      <c r="B59" s="16">
        <f t="shared" ref="B59:I59" si="12">B18+B9</f>
        <v>2079</v>
      </c>
      <c r="C59" s="16">
        <f t="shared" si="12"/>
        <v>1187</v>
      </c>
      <c r="D59" s="16">
        <f t="shared" si="12"/>
        <v>3932</v>
      </c>
      <c r="E59" s="16">
        <f t="shared" si="12"/>
        <v>6203</v>
      </c>
      <c r="F59" s="16">
        <f t="shared" si="12"/>
        <v>8169</v>
      </c>
      <c r="G59" s="16">
        <f t="shared" si="12"/>
        <v>13456.006200000002</v>
      </c>
      <c r="H59" s="16">
        <f t="shared" si="12"/>
        <v>16844.92628</v>
      </c>
      <c r="I59" s="16">
        <f t="shared" si="12"/>
        <v>19206.4553681</v>
      </c>
    </row>
    <row r="60" spans="1:9" hidden="1">
      <c r="A60" s="5" t="s">
        <v>23</v>
      </c>
      <c r="B60" s="4">
        <v>1756</v>
      </c>
      <c r="C60" s="4">
        <v>538</v>
      </c>
      <c r="D60" s="4">
        <v>2921</v>
      </c>
      <c r="E60" s="4">
        <v>4960</v>
      </c>
      <c r="F60" s="4">
        <v>6225</v>
      </c>
    </row>
    <row r="61" spans="1:9" hidden="1">
      <c r="A61" s="5" t="s">
        <v>22</v>
      </c>
      <c r="B61" s="4">
        <v>323</v>
      </c>
      <c r="C61" s="4">
        <v>649</v>
      </c>
      <c r="D61" s="4">
        <v>1011</v>
      </c>
      <c r="E61" s="4">
        <v>1243</v>
      </c>
      <c r="F61" s="4">
        <v>1945</v>
      </c>
    </row>
    <row r="62" spans="1:9" hidden="1">
      <c r="A62" s="101" t="s">
        <v>21</v>
      </c>
      <c r="B62" s="102"/>
      <c r="C62" s="102"/>
      <c r="D62" s="102"/>
      <c r="E62" s="102"/>
      <c r="F62" s="102"/>
    </row>
    <row r="63" spans="1:9" hidden="1">
      <c r="A63" s="5" t="s">
        <v>20</v>
      </c>
      <c r="B63" s="4">
        <v>219</v>
      </c>
      <c r="C63" s="4">
        <v>196</v>
      </c>
      <c r="D63" s="4">
        <v>130</v>
      </c>
      <c r="E63" s="4">
        <v>125</v>
      </c>
      <c r="F63" s="4">
        <v>181</v>
      </c>
    </row>
    <row r="64" spans="1:9" hidden="1">
      <c r="A64" s="5" t="s">
        <v>19</v>
      </c>
      <c r="B64" s="4">
        <v>130.19999999999999</v>
      </c>
      <c r="C64" s="4">
        <v>943.2</v>
      </c>
      <c r="D64" s="4">
        <v>543.6</v>
      </c>
      <c r="E64" s="4">
        <v>1102.2</v>
      </c>
      <c r="F64" s="4">
        <v>1781.4</v>
      </c>
    </row>
    <row r="65" spans="1:12" hidden="1">
      <c r="A65" s="5" t="s">
        <v>18</v>
      </c>
      <c r="B65" s="4">
        <v>29</v>
      </c>
      <c r="C65" s="4">
        <v>-9</v>
      </c>
      <c r="D65" s="4">
        <v>-14</v>
      </c>
      <c r="E65" s="4">
        <v>-87</v>
      </c>
      <c r="F65" s="4">
        <v>-66</v>
      </c>
    </row>
    <row r="67" spans="1:12" hidden="1">
      <c r="A67" s="5" t="s">
        <v>17</v>
      </c>
      <c r="B67" s="4" t="s">
        <v>14</v>
      </c>
      <c r="C67" s="4" t="s">
        <v>14</v>
      </c>
      <c r="D67" s="4" t="s">
        <v>14</v>
      </c>
      <c r="E67" s="4" t="s">
        <v>14</v>
      </c>
      <c r="F67" s="4" t="s">
        <v>14</v>
      </c>
    </row>
    <row r="68" spans="1:12" hidden="1">
      <c r="A68" s="5" t="s">
        <v>16</v>
      </c>
      <c r="B68" s="4" t="s">
        <v>14</v>
      </c>
      <c r="C68" s="4" t="s">
        <v>14</v>
      </c>
      <c r="D68" s="4" t="s">
        <v>14</v>
      </c>
      <c r="E68" s="4" t="s">
        <v>14</v>
      </c>
      <c r="F68" s="4" t="s">
        <v>14</v>
      </c>
    </row>
    <row r="69" spans="1:12" hidden="1">
      <c r="A69" s="5" t="s">
        <v>15</v>
      </c>
      <c r="B69" s="4" t="s">
        <v>14</v>
      </c>
      <c r="C69" s="4" t="s">
        <v>14</v>
      </c>
      <c r="D69" s="4" t="s">
        <v>14</v>
      </c>
      <c r="E69" s="4" t="s">
        <v>14</v>
      </c>
      <c r="F69" s="4" t="s">
        <v>14</v>
      </c>
    </row>
    <row r="72" spans="1:12" ht="15.75">
      <c r="A72" s="15" t="s">
        <v>13</v>
      </c>
      <c r="G72" s="14"/>
      <c r="H72" s="14"/>
      <c r="K72" s="13" t="s">
        <v>12</v>
      </c>
      <c r="L72" s="13" t="s">
        <v>11</v>
      </c>
    </row>
    <row r="73" spans="1:12">
      <c r="A73" s="1" t="s">
        <v>10</v>
      </c>
      <c r="C73" s="6">
        <f>(C6/B6)-1</f>
        <v>0.37132848288870934</v>
      </c>
      <c r="D73" s="6">
        <f>(D6/C6)-1</f>
        <v>0.5468657889565729</v>
      </c>
      <c r="E73" s="6">
        <f>(E6/D6)-1</f>
        <v>0.58358739837398366</v>
      </c>
      <c r="F73" s="6">
        <f>(F6/E6)-1</f>
        <v>0.43807155462858982</v>
      </c>
      <c r="G73" s="12">
        <v>0.39</v>
      </c>
      <c r="H73" s="12">
        <v>0.3</v>
      </c>
      <c r="I73" s="7">
        <v>0.21</v>
      </c>
      <c r="K73" s="9">
        <f>AVERAGE(C73:F73)</f>
        <v>0.48496330621196393</v>
      </c>
      <c r="L73" s="9">
        <f>MEDIAN(C73:F73)</f>
        <v>0.49246867179258136</v>
      </c>
    </row>
    <row r="75" spans="1:12">
      <c r="A75" s="1" t="s">
        <v>9</v>
      </c>
    </row>
    <row r="76" spans="1:12" hidden="1">
      <c r="A76" s="2" t="s">
        <v>8</v>
      </c>
      <c r="B76" s="6">
        <f>B14/B$6</f>
        <v>0.2950687146321746</v>
      </c>
      <c r="C76" s="6">
        <f>C14/C$6</f>
        <v>0.62625270190607196</v>
      </c>
      <c r="D76" s="6">
        <f>D14/D$6</f>
        <v>0.40561483739837401</v>
      </c>
      <c r="E76" s="6">
        <f>E14/E$6</f>
        <v>0.42668057115353764</v>
      </c>
      <c r="F76" s="6">
        <f>F14/F$6</f>
        <v>0.4928878228370614</v>
      </c>
      <c r="G76" s="12">
        <v>0.4</v>
      </c>
      <c r="H76" s="12">
        <v>0.42</v>
      </c>
      <c r="I76" s="7">
        <v>0.4</v>
      </c>
      <c r="K76" s="9">
        <f>AVERAGE(B76:F76)</f>
        <v>0.44930092958544388</v>
      </c>
      <c r="L76" s="9">
        <f>MEDIAN(B76:F76)</f>
        <v>0.42668057115353764</v>
      </c>
    </row>
    <row r="77" spans="1:12" hidden="1">
      <c r="A77" s="2" t="s">
        <v>7</v>
      </c>
      <c r="B77" s="6">
        <f>B9/B6</f>
        <v>8.7038534087846939E-2</v>
      </c>
      <c r="C77" s="6">
        <f>C9/C6</f>
        <v>0.12752996659461585</v>
      </c>
      <c r="D77" s="6">
        <f>D9/D6</f>
        <v>0.12842987804878048</v>
      </c>
      <c r="E77" s="6">
        <f>E9/E6</f>
        <v>9.9711214503449386E-2</v>
      </c>
      <c r="F77" s="6">
        <f>F9/F6</f>
        <v>0.10849556534835722</v>
      </c>
      <c r="G77" s="10">
        <v>0.1</v>
      </c>
      <c r="H77" s="10">
        <v>0.1</v>
      </c>
      <c r="I77" s="10">
        <v>0.11</v>
      </c>
      <c r="K77" s="9">
        <f>AVERAGE(B77:F77)</f>
        <v>0.11024103171660997</v>
      </c>
      <c r="L77" s="9">
        <f>MEDIAN(B77:F77)</f>
        <v>0.10849556534835722</v>
      </c>
    </row>
    <row r="78" spans="1:12" hidden="1">
      <c r="A78" s="2" t="s">
        <v>6</v>
      </c>
      <c r="B78" s="6">
        <f>B8/B6</f>
        <v>0.14470493128536782</v>
      </c>
      <c r="C78" s="6">
        <f>C8/C6</f>
        <v>0.14049911573983101</v>
      </c>
      <c r="D78" s="6">
        <f>D8/D6</f>
        <v>9.489329268292683E-2</v>
      </c>
      <c r="E78" s="6">
        <f>E8/E6</f>
        <v>7.5725974651050854E-2</v>
      </c>
      <c r="F78" s="6">
        <f>F8/F6</f>
        <v>5.1430802699838234E-2</v>
      </c>
      <c r="G78" s="10">
        <v>0.06</v>
      </c>
      <c r="H78" s="10">
        <v>0.06</v>
      </c>
      <c r="I78" s="10">
        <v>0.06</v>
      </c>
      <c r="K78" s="9">
        <f>AVERAGE(B78:F78)</f>
        <v>0.10145082341180296</v>
      </c>
      <c r="L78" s="9">
        <f>MEDIAN(B78:F78)</f>
        <v>9.489329268292683E-2</v>
      </c>
    </row>
    <row r="79" spans="1:12">
      <c r="A79" s="2" t="s">
        <v>107</v>
      </c>
      <c r="B79" s="6">
        <f>B77+B78</f>
        <v>0.23174346537321477</v>
      </c>
      <c r="C79" s="6">
        <f t="shared" ref="C79:I79" si="13">C77+C78</f>
        <v>0.26802908233444689</v>
      </c>
      <c r="D79" s="6">
        <f t="shared" si="13"/>
        <v>0.22332317073170732</v>
      </c>
      <c r="E79" s="6">
        <f t="shared" si="13"/>
        <v>0.17543718915450024</v>
      </c>
      <c r="F79" s="6">
        <f t="shared" si="13"/>
        <v>0.15992636804819546</v>
      </c>
      <c r="G79" s="35">
        <f t="shared" si="13"/>
        <v>0.16</v>
      </c>
      <c r="H79" s="35">
        <f t="shared" si="13"/>
        <v>0.16</v>
      </c>
      <c r="I79" s="35">
        <f t="shared" si="13"/>
        <v>0.16999999999999998</v>
      </c>
      <c r="K79" s="9">
        <f>AVERAGE(B79:F79)</f>
        <v>0.2116918551284129</v>
      </c>
      <c r="L79" s="9">
        <f>MEDIAN(B79:F79)</f>
        <v>0.22332317073170732</v>
      </c>
    </row>
    <row r="80" spans="1:12">
      <c r="A80" s="2" t="s">
        <v>110</v>
      </c>
      <c r="B80" s="6">
        <f>B15/B6</f>
        <v>0.10455402856372946</v>
      </c>
      <c r="C80" s="6">
        <f t="shared" ref="C80:F80" si="14">C15/C6</f>
        <v>0.27490666142660641</v>
      </c>
      <c r="D80" s="6">
        <f t="shared" si="14"/>
        <v>0.1797510162601626</v>
      </c>
      <c r="E80" s="6">
        <f t="shared" si="14"/>
        <v>0.21386170383442965</v>
      </c>
      <c r="F80" s="6">
        <f t="shared" si="14"/>
        <v>0.26864506052323311</v>
      </c>
      <c r="G80" s="35">
        <v>0.2</v>
      </c>
      <c r="H80" s="35">
        <v>0.22</v>
      </c>
      <c r="I80" s="35">
        <v>0.23</v>
      </c>
      <c r="K80" s="9">
        <f>AVERAGE(B80:F80)</f>
        <v>0.20834369412163226</v>
      </c>
      <c r="L80" s="9">
        <f>MEDIAN(B80:F80)</f>
        <v>0.21386170383442965</v>
      </c>
    </row>
    <row r="81" spans="1:12">
      <c r="A81" s="2" t="s">
        <v>111</v>
      </c>
      <c r="B81" s="6">
        <f>B16/B6</f>
        <v>0.1059013742926435</v>
      </c>
      <c r="C81" s="6">
        <f t="shared" ref="C81:F81" si="15">C16/C6</f>
        <v>0.17606602475928473</v>
      </c>
      <c r="D81" s="6">
        <f t="shared" si="15"/>
        <v>0.12665142276422764</v>
      </c>
      <c r="E81" s="6">
        <f t="shared" si="15"/>
        <v>0.13476656505695492</v>
      </c>
      <c r="F81" s="6">
        <f t="shared" si="15"/>
        <v>0.15200535505104032</v>
      </c>
      <c r="G81" s="35">
        <v>0.13</v>
      </c>
      <c r="H81" s="35">
        <v>0.12</v>
      </c>
      <c r="I81" s="35">
        <v>0.14000000000000001</v>
      </c>
      <c r="K81" s="9">
        <f t="shared" ref="K81:K82" si="16">AVERAGE(B81:F81)</f>
        <v>0.13907814838483021</v>
      </c>
      <c r="L81" s="9">
        <f t="shared" ref="L81:L82" si="17">MEDIAN(B81:F81)</f>
        <v>0.13476656505695492</v>
      </c>
    </row>
    <row r="82" spans="1:12">
      <c r="A82" s="2" t="s">
        <v>112</v>
      </c>
      <c r="B82" s="6">
        <f>B17/B6</f>
        <v>8.461331177580167E-2</v>
      </c>
      <c r="C82" s="6">
        <f t="shared" ref="C82:F82" si="18">C17/C6</f>
        <v>0.17528001572018079</v>
      </c>
      <c r="D82" s="6">
        <f t="shared" si="18"/>
        <v>9.921239837398374E-2</v>
      </c>
      <c r="E82" s="6">
        <f t="shared" si="18"/>
        <v>7.8052302262153053E-2</v>
      </c>
      <c r="F82" s="6">
        <f t="shared" si="18"/>
        <v>7.2237407262787975E-2</v>
      </c>
      <c r="G82" s="35">
        <v>7.0000000000000007E-2</v>
      </c>
      <c r="H82" s="35">
        <v>0.08</v>
      </c>
      <c r="I82" s="35">
        <v>0.08</v>
      </c>
      <c r="K82" s="9">
        <f t="shared" si="16"/>
        <v>0.10187908707898145</v>
      </c>
      <c r="L82" s="9">
        <f t="shared" si="17"/>
        <v>8.461331177580167E-2</v>
      </c>
    </row>
    <row r="83" spans="1:12">
      <c r="A83" s="2" t="s">
        <v>5</v>
      </c>
      <c r="B83" s="9">
        <f>SUM(B79:B82)</f>
        <v>0.52681218000538943</v>
      </c>
      <c r="C83" s="9">
        <f t="shared" ref="C83:I83" si="19">SUM(C79:C82)</f>
        <v>0.89428178424051885</v>
      </c>
      <c r="D83" s="9">
        <f t="shared" si="19"/>
        <v>0.62893800813008138</v>
      </c>
      <c r="E83" s="9">
        <f t="shared" si="19"/>
        <v>0.60211776030803787</v>
      </c>
      <c r="F83" s="9">
        <f t="shared" si="19"/>
        <v>0.65281419088525683</v>
      </c>
      <c r="G83" s="36">
        <f t="shared" si="19"/>
        <v>0.56000000000000005</v>
      </c>
      <c r="H83" s="36">
        <f t="shared" si="19"/>
        <v>0.57999999999999996</v>
      </c>
      <c r="I83" s="36">
        <f t="shared" si="19"/>
        <v>0.62</v>
      </c>
      <c r="K83" s="9">
        <f>AVERAGE(B83:F83)</f>
        <v>0.66099278471385692</v>
      </c>
      <c r="L83" s="9">
        <f>MEDIAN(B83:F83)</f>
        <v>0.62893800813008138</v>
      </c>
    </row>
    <row r="84" spans="1:12">
      <c r="A84" s="1" t="s">
        <v>4</v>
      </c>
      <c r="B84" s="6">
        <f t="shared" ref="B84:I84" si="20">B18/B6</f>
        <v>0.47318781999461063</v>
      </c>
      <c r="C84" s="6">
        <f t="shared" si="20"/>
        <v>0.10571821575948123</v>
      </c>
      <c r="D84" s="6">
        <f t="shared" si="20"/>
        <v>0.37106199186991867</v>
      </c>
      <c r="E84" s="6">
        <f t="shared" si="20"/>
        <v>0.39788223969196213</v>
      </c>
      <c r="F84" s="6">
        <f t="shared" si="20"/>
        <v>0.34718580911474312</v>
      </c>
      <c r="G84" s="11">
        <f t="shared" si="20"/>
        <v>0.44</v>
      </c>
      <c r="H84" s="11">
        <f t="shared" si="20"/>
        <v>0.42</v>
      </c>
      <c r="I84" s="11">
        <f t="shared" si="20"/>
        <v>0.37999999999999995</v>
      </c>
      <c r="K84" s="9">
        <f>AVERAGE(B84:F84)</f>
        <v>0.33900721528614314</v>
      </c>
      <c r="L84" s="9">
        <f>MEDIAN(B84:F84)</f>
        <v>0.37106199186991867</v>
      </c>
    </row>
    <row r="85" spans="1:12">
      <c r="A85" s="1" t="s">
        <v>3</v>
      </c>
      <c r="B85" s="6"/>
      <c r="C85" s="6"/>
      <c r="D85" s="6"/>
      <c r="E85" s="6"/>
      <c r="F85" s="6"/>
      <c r="G85" s="10"/>
      <c r="H85" s="10"/>
      <c r="I85" s="10"/>
      <c r="K85" s="9"/>
      <c r="L85" s="9"/>
    </row>
    <row r="86" spans="1:12">
      <c r="A86" s="1" t="str">
        <f>CONCATENATE(A19," as a % of Revenue")</f>
        <v>Nonoperating Income - Net as a % of Revenue</v>
      </c>
      <c r="B86" s="8">
        <f>B19</f>
        <v>-19</v>
      </c>
      <c r="C86" s="8">
        <f>C19</f>
        <v>7</v>
      </c>
      <c r="D86" s="8">
        <f>D19</f>
        <v>6</v>
      </c>
      <c r="E86" s="8">
        <f>E19</f>
        <v>-61</v>
      </c>
      <c r="F86" s="8">
        <f>F19</f>
        <v>-8</v>
      </c>
      <c r="G86" s="3">
        <v>-10</v>
      </c>
      <c r="H86" s="3">
        <v>-5</v>
      </c>
      <c r="I86" s="3">
        <v>-11</v>
      </c>
      <c r="K86" s="8">
        <f>AVERAGE(B86:F86)</f>
        <v>-15</v>
      </c>
      <c r="L86" s="8">
        <f>MEDIAN(B86:F86)</f>
        <v>-8</v>
      </c>
    </row>
    <row r="87" spans="1:12">
      <c r="A87" s="1" t="str">
        <f>CONCATENATE(A20," as a % of Revenue")</f>
        <v>Nonoperating Interest Income as a % of Revenue</v>
      </c>
      <c r="B87" s="8">
        <f>B23</f>
        <v>42</v>
      </c>
      <c r="C87" s="8">
        <f>C23</f>
        <v>51</v>
      </c>
      <c r="D87" s="8">
        <f>D23</f>
        <v>56</v>
      </c>
      <c r="E87" s="8">
        <f>E23</f>
        <v>23</v>
      </c>
      <c r="F87" s="8">
        <f>F23</f>
        <v>23</v>
      </c>
      <c r="G87" s="3">
        <v>30</v>
      </c>
      <c r="H87" s="3">
        <v>30</v>
      </c>
      <c r="I87" s="3">
        <v>38</v>
      </c>
      <c r="K87" s="8">
        <f>AVERAGE(B87:F87)</f>
        <v>39</v>
      </c>
      <c r="L87" s="8">
        <f>MEDIAN(B87:F87)</f>
        <v>42</v>
      </c>
    </row>
    <row r="88" spans="1:12">
      <c r="A88" s="1" t="str">
        <f>CONCATENATE(A21," as a % of Revenue")</f>
        <v>Equity in Earnings of Affiliates as a % of Revenue</v>
      </c>
      <c r="B88" s="8">
        <f>B26</f>
        <v>0</v>
      </c>
      <c r="C88" s="8">
        <f>C26</f>
        <v>0</v>
      </c>
      <c r="D88" s="8">
        <f>D26</f>
        <v>117</v>
      </c>
      <c r="E88" s="8">
        <f>E26</f>
        <v>-34</v>
      </c>
      <c r="F88" s="8">
        <f>F26</f>
        <v>0</v>
      </c>
      <c r="G88" s="3">
        <v>0</v>
      </c>
      <c r="H88" s="3">
        <v>0</v>
      </c>
      <c r="I88" s="3">
        <v>0</v>
      </c>
      <c r="K88" s="8">
        <f>AVERAGE(B88:F88)</f>
        <v>16.600000000000001</v>
      </c>
      <c r="L88" s="8">
        <f>MEDIAN(B88:F88)</f>
        <v>0</v>
      </c>
    </row>
    <row r="90" spans="1:12">
      <c r="A90" s="1" t="s">
        <v>2</v>
      </c>
      <c r="C90" s="6">
        <f t="shared" ref="C90:F91" si="21">C51/B51-1</f>
        <v>-0.96812753214260705</v>
      </c>
      <c r="D90" s="6">
        <f t="shared" si="21"/>
        <v>52.916038438617406</v>
      </c>
      <c r="E90" s="6">
        <f t="shared" si="21"/>
        <v>0.36720597598945637</v>
      </c>
      <c r="F90" s="6">
        <f t="shared" si="21"/>
        <v>0.18087109391479905</v>
      </c>
      <c r="G90" s="7">
        <v>0.4</v>
      </c>
      <c r="H90" s="7">
        <v>0.4</v>
      </c>
      <c r="I90" s="7">
        <v>0.26</v>
      </c>
      <c r="K90" s="6">
        <f>AVERAGE(C90:F90)</f>
        <v>13.123996994094762</v>
      </c>
      <c r="L90" s="6">
        <f>MEDIAN(C90:F90)</f>
        <v>0.27403853495212771</v>
      </c>
    </row>
    <row r="91" spans="1:12">
      <c r="A91" s="1" t="s">
        <v>1</v>
      </c>
      <c r="C91" s="6">
        <f t="shared" si="21"/>
        <v>-0.97742663656884876</v>
      </c>
      <c r="D91" s="6">
        <f t="shared" si="21"/>
        <v>59</v>
      </c>
      <c r="E91" s="6">
        <f t="shared" si="21"/>
        <v>0.83333333333333348</v>
      </c>
      <c r="F91" s="6">
        <f t="shared" si="21"/>
        <v>0.17272727272727262</v>
      </c>
      <c r="G91" s="7">
        <v>0.4</v>
      </c>
      <c r="H91" s="7">
        <v>0.4</v>
      </c>
      <c r="I91" s="7">
        <v>0.26</v>
      </c>
      <c r="K91" s="6">
        <f>AVERAGE(C91:F91)</f>
        <v>14.757158492372939</v>
      </c>
      <c r="L91" s="6">
        <f>MEDIAN(C91:F91)</f>
        <v>0.50303030303030305</v>
      </c>
    </row>
    <row r="93" spans="1:12">
      <c r="A93" s="5" t="s">
        <v>0</v>
      </c>
      <c r="B93" s="4">
        <v>41.002949852507378</v>
      </c>
      <c r="C93" s="4">
        <v>89.271255060728748</v>
      </c>
      <c r="D93" s="4">
        <v>45.533769063180827</v>
      </c>
      <c r="E93" s="4">
        <v>40.122199592668025</v>
      </c>
      <c r="F93" s="4">
        <v>40.458508233774623</v>
      </c>
      <c r="G93" s="3">
        <v>41</v>
      </c>
      <c r="H93" s="3">
        <v>41</v>
      </c>
      <c r="I93" s="3">
        <v>41</v>
      </c>
    </row>
  </sheetData>
  <mergeCells count="3">
    <mergeCell ref="A50:F50"/>
    <mergeCell ref="A58:F58"/>
    <mergeCell ref="A62:F62"/>
  </mergeCells>
  <pageMargins left="0.7" right="0.7" top="0.75" bottom="0.75" header="0.3" footer="0.3"/>
  <pageSetup orientation="portrait" r:id="rId1"/>
  <ignoredErrors>
    <ignoredError sqref="B18:F18" formulaRange="1"/>
    <ignoredError sqref="G23:I23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2.75"/>
  <cols>
    <col min="1" max="1" width="9.140625" style="1"/>
    <col min="2" max="2" width="19" style="1" bestFit="1" customWidth="1"/>
    <col min="3" max="3" width="11.140625" style="1" bestFit="1" customWidth="1"/>
    <col min="4" max="4" width="0" style="1" hidden="1" customWidth="1"/>
    <col min="5" max="16384" width="9.140625" style="1"/>
  </cols>
  <sheetData>
    <row r="1" spans="1:9" ht="15">
      <c r="A1" s="86" t="s">
        <v>141</v>
      </c>
      <c r="B1" s="43"/>
      <c r="C1" s="90"/>
      <c r="D1" s="90"/>
      <c r="E1" s="103"/>
      <c r="F1" s="88"/>
      <c r="G1" s="88"/>
      <c r="H1" s="88"/>
      <c r="I1" s="88"/>
    </row>
    <row r="2" spans="1:9" ht="14.25">
      <c r="A2" s="89" t="s">
        <v>114</v>
      </c>
      <c r="B2" s="43"/>
      <c r="C2" s="90"/>
      <c r="D2" s="90"/>
      <c r="E2" s="103"/>
      <c r="F2" s="88"/>
      <c r="G2" s="88"/>
      <c r="H2" s="88"/>
      <c r="I2" s="88"/>
    </row>
    <row r="3" spans="1:9" ht="14.25">
      <c r="A3" s="89" t="s">
        <v>135</v>
      </c>
      <c r="B3" s="43"/>
      <c r="C3" s="90"/>
      <c r="D3" s="90"/>
      <c r="E3" s="166">
        <v>112.26</v>
      </c>
      <c r="F3" s="88"/>
      <c r="G3" s="88"/>
      <c r="H3" s="88"/>
      <c r="I3" s="88"/>
    </row>
    <row r="4" spans="1:9" ht="14.25">
      <c r="A4" s="43"/>
      <c r="B4" s="43"/>
      <c r="C4" s="90"/>
      <c r="D4" s="90"/>
      <c r="E4" s="103"/>
      <c r="F4" s="90"/>
      <c r="G4" s="90"/>
      <c r="H4" s="90"/>
      <c r="I4" s="90"/>
    </row>
    <row r="5" spans="1:9" ht="15">
      <c r="A5" s="43"/>
      <c r="B5" s="43"/>
      <c r="C5" s="90"/>
      <c r="D5" s="91" t="s">
        <v>344</v>
      </c>
      <c r="E5" s="104" t="s">
        <v>137</v>
      </c>
      <c r="F5" s="90"/>
      <c r="G5" s="90"/>
      <c r="H5" s="90"/>
      <c r="I5" s="90"/>
    </row>
    <row r="6" spans="1:9" ht="14.25">
      <c r="A6" s="43"/>
      <c r="B6" s="43"/>
      <c r="C6" s="48">
        <v>2016</v>
      </c>
      <c r="D6" s="105">
        <f>$E$3/E6</f>
        <v>62.159468438538212</v>
      </c>
      <c r="E6" s="106">
        <f>'FB Income Statement '!G52</f>
        <v>1.8059999999999998</v>
      </c>
      <c r="F6" s="88"/>
      <c r="G6" s="92"/>
      <c r="H6" s="88"/>
      <c r="I6" s="92"/>
    </row>
    <row r="7" spans="1:9" ht="14.25">
      <c r="A7" s="43"/>
      <c r="B7" s="93"/>
      <c r="C7" s="48">
        <v>2017</v>
      </c>
      <c r="D7" s="105">
        <f t="shared" ref="D7:D8" si="0">$E$3/E7</f>
        <v>44.399620313241584</v>
      </c>
      <c r="E7" s="106">
        <f>'FB Income Statement '!H52</f>
        <v>2.5283999999999995</v>
      </c>
      <c r="F7" s="88"/>
      <c r="G7" s="92"/>
      <c r="H7" s="88"/>
      <c r="I7" s="92"/>
    </row>
    <row r="8" spans="1:9" ht="14.25">
      <c r="A8" s="43"/>
      <c r="B8" s="43"/>
      <c r="C8" s="48">
        <f>C7+1</f>
        <v>2018</v>
      </c>
      <c r="D8" s="105">
        <f t="shared" si="0"/>
        <v>35.237793899398085</v>
      </c>
      <c r="E8" s="106">
        <f>'FB Income Statement '!I52</f>
        <v>3.1857839999999995</v>
      </c>
      <c r="F8" s="88"/>
      <c r="G8" s="92"/>
      <c r="H8" s="88"/>
      <c r="I8" s="92"/>
    </row>
    <row r="9" spans="1:9" ht="14.25">
      <c r="A9" s="43"/>
      <c r="B9" s="43"/>
      <c r="C9" s="48"/>
      <c r="D9" s="105"/>
      <c r="E9" s="106"/>
      <c r="F9" s="88"/>
      <c r="G9" s="92"/>
      <c r="H9" s="88"/>
      <c r="I9" s="92"/>
    </row>
    <row r="10" spans="1:9" ht="14.25">
      <c r="A10" s="43"/>
      <c r="B10" s="43"/>
      <c r="C10" s="48"/>
      <c r="D10" s="43"/>
      <c r="E10" s="107"/>
      <c r="F10" s="87"/>
      <c r="G10" s="87"/>
      <c r="H10" s="87"/>
      <c r="I10" s="87"/>
    </row>
    <row r="11" spans="1:9" ht="15">
      <c r="A11" s="43"/>
      <c r="B11" s="43"/>
      <c r="C11" s="48"/>
      <c r="D11" s="91"/>
      <c r="E11" s="104"/>
      <c r="F11" s="95"/>
      <c r="G11" s="95"/>
      <c r="H11" s="94"/>
      <c r="I11" s="94"/>
    </row>
    <row r="12" spans="1:9" ht="15">
      <c r="A12" s="43"/>
      <c r="B12" s="43"/>
      <c r="C12" s="91"/>
      <c r="D12" s="108"/>
      <c r="E12" s="109"/>
      <c r="F12" s="96"/>
      <c r="G12" s="96"/>
      <c r="H12" s="96"/>
      <c r="I12" s="97"/>
    </row>
    <row r="13" spans="1:9" ht="15">
      <c r="A13" s="43"/>
      <c r="B13" s="43"/>
      <c r="C13" s="91"/>
      <c r="D13" s="108"/>
      <c r="E13" s="109"/>
      <c r="F13" s="96"/>
      <c r="G13" s="96"/>
      <c r="H13" s="96"/>
      <c r="I13" s="97"/>
    </row>
    <row r="14" spans="1:9" ht="14.25">
      <c r="A14" s="43"/>
      <c r="B14" s="43"/>
      <c r="C14" s="43" t="s">
        <v>136</v>
      </c>
      <c r="D14" s="90"/>
      <c r="E14" s="110">
        <v>55</v>
      </c>
      <c r="F14" s="96"/>
      <c r="G14" s="96"/>
      <c r="H14" s="96"/>
      <c r="I14" s="97"/>
    </row>
    <row r="15" spans="1:9" ht="14.25">
      <c r="A15" s="43"/>
      <c r="B15" s="43"/>
      <c r="C15" s="48">
        <v>2017</v>
      </c>
      <c r="D15" s="90"/>
      <c r="E15" s="111">
        <f>E7</f>
        <v>2.5283999999999995</v>
      </c>
      <c r="F15" s="96"/>
      <c r="G15" s="96"/>
      <c r="H15" s="96"/>
      <c r="I15" s="97"/>
    </row>
    <row r="16" spans="1:9" ht="14.25">
      <c r="A16" s="43"/>
      <c r="B16" s="43"/>
      <c r="C16" s="43" t="s">
        <v>138</v>
      </c>
      <c r="D16" s="90"/>
      <c r="E16" s="112">
        <f>E14*E15</f>
        <v>139.06199999999998</v>
      </c>
      <c r="F16" s="87"/>
      <c r="G16" s="87"/>
      <c r="H16" s="87"/>
      <c r="I16" s="87"/>
    </row>
    <row r="17" spans="1:12" ht="14.25">
      <c r="A17" s="43"/>
      <c r="B17" s="43"/>
      <c r="C17" s="43" t="s">
        <v>139</v>
      </c>
      <c r="D17" s="90"/>
      <c r="E17" s="112"/>
      <c r="F17" s="87"/>
      <c r="G17" s="87"/>
      <c r="H17" s="87"/>
      <c r="I17" s="87"/>
      <c r="L17" s="165"/>
    </row>
    <row r="18" spans="1:12" ht="15.75" thickBot="1">
      <c r="A18" s="43"/>
      <c r="B18" s="43"/>
      <c r="C18" s="98" t="s">
        <v>12</v>
      </c>
      <c r="D18" s="99"/>
      <c r="E18" s="113">
        <f>AVERAGE(E16:E17)</f>
        <v>139.06199999999998</v>
      </c>
      <c r="F18" s="87"/>
      <c r="G18" s="87"/>
      <c r="H18" s="87"/>
      <c r="I18" s="87"/>
    </row>
    <row r="19" spans="1:12" ht="15" thickTop="1">
      <c r="A19" s="43"/>
      <c r="B19" s="43" t="s">
        <v>346</v>
      </c>
      <c r="C19" s="114" t="s">
        <v>140</v>
      </c>
      <c r="D19" s="90"/>
      <c r="E19" s="115">
        <f>(E18/E3)-1</f>
        <v>0.23874933190807024</v>
      </c>
      <c r="F19" s="87"/>
      <c r="G19" s="87"/>
      <c r="H19" s="87"/>
      <c r="I19" s="87"/>
    </row>
    <row r="20" spans="1:12" ht="14.25">
      <c r="A20" s="85"/>
      <c r="B20" s="85"/>
      <c r="C20" s="85"/>
      <c r="D20" s="85"/>
      <c r="E20" s="116"/>
      <c r="F20" s="87"/>
      <c r="G20" s="87"/>
      <c r="H20" s="87"/>
      <c r="I20" s="87"/>
    </row>
    <row r="21" spans="1:12" ht="14.25">
      <c r="A21" s="87"/>
      <c r="B21" s="87"/>
      <c r="C21" s="87"/>
      <c r="D21" s="87"/>
    </row>
    <row r="22" spans="1:12" ht="14.25">
      <c r="A22" s="87"/>
      <c r="B22" s="87"/>
      <c r="C22" s="87"/>
      <c r="D22" s="87"/>
    </row>
    <row r="23" spans="1:12" ht="14.25">
      <c r="A23" s="87"/>
      <c r="B23" s="87"/>
      <c r="C23" s="87"/>
      <c r="D23" s="87"/>
    </row>
    <row r="24" spans="1:12" ht="14.25">
      <c r="A24" s="87"/>
      <c r="B24" s="87"/>
      <c r="C24" s="87"/>
      <c r="D24" s="87"/>
    </row>
    <row r="25" spans="1:12" ht="14.25">
      <c r="A25" s="87"/>
      <c r="B25" s="87"/>
      <c r="C25" s="87"/>
      <c r="D25" s="87"/>
    </row>
    <row r="26" spans="1:12" ht="14.25">
      <c r="A26" s="87"/>
      <c r="B26" s="87"/>
      <c r="C26" s="87"/>
      <c r="D26" s="87"/>
    </row>
    <row r="27" spans="1:12" ht="14.25">
      <c r="A27" s="87"/>
      <c r="B27" s="87"/>
      <c r="C27" s="87"/>
      <c r="D27" s="87"/>
    </row>
    <row r="28" spans="1:12" ht="14.25">
      <c r="A28" s="87"/>
      <c r="B28" s="87"/>
      <c r="C28" s="87"/>
      <c r="D28" s="87"/>
    </row>
    <row r="29" spans="1:12" ht="14.25">
      <c r="A29" s="87"/>
      <c r="B29" s="87"/>
      <c r="C29" s="87"/>
      <c r="D29" s="87"/>
    </row>
    <row r="30" spans="1:12" ht="14.25">
      <c r="A30" s="87"/>
      <c r="B30" s="87"/>
      <c r="C30" s="87"/>
      <c r="D30" s="87"/>
    </row>
    <row r="31" spans="1:12" ht="14.25">
      <c r="A31" s="100"/>
      <c r="B31" s="43"/>
      <c r="C31" s="43"/>
      <c r="D31" s="43"/>
    </row>
    <row r="32" spans="1:12" ht="14.25">
      <c r="A32" s="100"/>
      <c r="B32" s="43"/>
      <c r="C32" s="43"/>
      <c r="D32" s="4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2.75"/>
  <cols>
    <col min="1" max="7" width="9.140625" style="1"/>
    <col min="8" max="8" width="10" style="1" customWidth="1"/>
    <col min="9" max="9" width="10.42578125" style="1" customWidth="1"/>
    <col min="10" max="10" width="10.140625" style="1" customWidth="1"/>
    <col min="11" max="16384" width="9.140625" style="1"/>
  </cols>
  <sheetData>
    <row r="1" spans="1:15" ht="15">
      <c r="A1" s="38" t="s">
        <v>113</v>
      </c>
      <c r="B1" s="39"/>
      <c r="C1" s="40"/>
      <c r="D1" s="39"/>
      <c r="E1" s="39"/>
      <c r="F1" s="39"/>
      <c r="G1" s="39"/>
      <c r="H1" s="39"/>
      <c r="I1" s="39"/>
      <c r="J1" s="41"/>
      <c r="K1" s="75"/>
      <c r="L1" s="75"/>
      <c r="M1" s="75"/>
      <c r="N1" s="75"/>
      <c r="O1" s="75"/>
    </row>
    <row r="2" spans="1:15" ht="14.25">
      <c r="A2" s="42" t="s">
        <v>114</v>
      </c>
      <c r="B2" s="43"/>
      <c r="C2" s="43"/>
      <c r="D2" s="43"/>
      <c r="E2" s="43"/>
      <c r="F2" s="43"/>
      <c r="G2" s="43"/>
      <c r="H2" s="44"/>
      <c r="I2" s="44"/>
      <c r="J2" s="59"/>
      <c r="K2" s="44"/>
      <c r="L2" s="44"/>
      <c r="M2" s="44"/>
      <c r="N2" s="44"/>
      <c r="O2" s="43"/>
    </row>
    <row r="3" spans="1:15" ht="14.25">
      <c r="A3" s="42"/>
      <c r="B3" s="43"/>
      <c r="C3" s="43"/>
      <c r="D3" s="43"/>
      <c r="E3" s="43"/>
      <c r="F3" s="43"/>
      <c r="G3" s="43"/>
      <c r="H3" s="117" t="s">
        <v>142</v>
      </c>
      <c r="I3" s="117" t="s">
        <v>143</v>
      </c>
      <c r="J3" s="129" t="s">
        <v>144</v>
      </c>
      <c r="K3" s="46"/>
      <c r="L3" s="46"/>
      <c r="M3" s="46"/>
      <c r="N3" s="46"/>
      <c r="O3" s="46"/>
    </row>
    <row r="4" spans="1:15" ht="14.25">
      <c r="A4" s="47" t="s">
        <v>24</v>
      </c>
      <c r="B4" s="48"/>
      <c r="C4" s="48"/>
      <c r="D4" s="43"/>
      <c r="E4" s="43"/>
      <c r="F4" s="43"/>
      <c r="G4" s="49"/>
      <c r="H4" s="118">
        <f>'FB Income Statement '!G59</f>
        <v>13456.006200000002</v>
      </c>
      <c r="I4" s="118">
        <f>'FB Income Statement '!H59</f>
        <v>16844.92628</v>
      </c>
      <c r="J4" s="130">
        <f>'FB Income Statement '!I59</f>
        <v>19206.4553681</v>
      </c>
      <c r="K4" s="50"/>
      <c r="L4" s="50"/>
      <c r="M4" s="50"/>
      <c r="N4" s="50"/>
      <c r="O4" s="50"/>
    </row>
    <row r="5" spans="1:15" ht="14.25">
      <c r="A5" s="47" t="s">
        <v>115</v>
      </c>
      <c r="B5" s="48"/>
      <c r="C5" s="48"/>
      <c r="D5" s="43"/>
      <c r="E5" s="43"/>
      <c r="F5" s="43"/>
      <c r="G5" s="43"/>
      <c r="H5" s="118">
        <f>-'FB Income Statement '!G9</f>
        <v>-2491.8530000000005</v>
      </c>
      <c r="I5" s="118">
        <f>-'FB Income Statement '!H9</f>
        <v>-3239.4089000000004</v>
      </c>
      <c r="J5" s="130">
        <f>-'FB Income Statement '!I9</f>
        <v>-4311.6532459</v>
      </c>
      <c r="K5" s="50"/>
      <c r="L5" s="50"/>
      <c r="M5" s="50"/>
      <c r="N5" s="50"/>
      <c r="O5" s="50"/>
    </row>
    <row r="6" spans="1:15" ht="14.25">
      <c r="A6" s="47" t="s">
        <v>23</v>
      </c>
      <c r="B6" s="48"/>
      <c r="C6" s="48"/>
      <c r="D6" s="43"/>
      <c r="E6" s="43"/>
      <c r="F6" s="43"/>
      <c r="G6" s="43"/>
      <c r="H6" s="118">
        <f>SUM(H4:H5)</f>
        <v>10964.153200000001</v>
      </c>
      <c r="I6" s="118">
        <f t="shared" ref="I6:J6" si="0">SUM(I4:I5)</f>
        <v>13605.517379999999</v>
      </c>
      <c r="J6" s="130">
        <f t="shared" si="0"/>
        <v>14894.802122199999</v>
      </c>
      <c r="K6" s="50"/>
      <c r="L6" s="50"/>
      <c r="M6" s="50"/>
      <c r="N6" s="50"/>
      <c r="O6" s="50"/>
    </row>
    <row r="7" spans="1:15" ht="14.25">
      <c r="A7" s="47" t="s">
        <v>116</v>
      </c>
      <c r="B7" s="48"/>
      <c r="C7" s="51">
        <v>0.4</v>
      </c>
      <c r="D7" s="43"/>
      <c r="E7" s="43"/>
      <c r="F7" s="43"/>
      <c r="G7" s="43"/>
      <c r="H7" s="118">
        <f>-H6*$C7</f>
        <v>-4385.6612800000003</v>
      </c>
      <c r="I7" s="118">
        <f t="shared" ref="I7:J7" si="1">-I6*$C7</f>
        <v>-5442.2069520000005</v>
      </c>
      <c r="J7" s="130">
        <f t="shared" si="1"/>
        <v>-5957.9208488799995</v>
      </c>
      <c r="K7" s="50"/>
      <c r="L7" s="50"/>
      <c r="M7" s="50"/>
      <c r="N7" s="50"/>
      <c r="O7" s="50"/>
    </row>
    <row r="8" spans="1:15" ht="15" thickBot="1">
      <c r="A8" s="52" t="s">
        <v>117</v>
      </c>
      <c r="B8" s="53"/>
      <c r="C8" s="53"/>
      <c r="D8" s="54"/>
      <c r="E8" s="54"/>
      <c r="F8" s="54"/>
      <c r="G8" s="54"/>
      <c r="H8" s="119">
        <f>SUM(H6:H7)</f>
        <v>6578.4919200000004</v>
      </c>
      <c r="I8" s="119">
        <f t="shared" ref="I8:J8" si="2">SUM(I6:I7)</f>
        <v>8163.3104279999989</v>
      </c>
      <c r="J8" s="131">
        <f t="shared" si="2"/>
        <v>8936.8812733199993</v>
      </c>
      <c r="K8" s="127"/>
      <c r="L8" s="127"/>
      <c r="M8" s="127"/>
      <c r="N8" s="127"/>
      <c r="O8" s="127"/>
    </row>
    <row r="9" spans="1:15" ht="15.75" thickBot="1">
      <c r="A9" s="144" t="s">
        <v>118</v>
      </c>
      <c r="B9" s="145"/>
      <c r="C9" s="145"/>
      <c r="D9" s="146"/>
      <c r="E9" s="146"/>
      <c r="F9" s="146"/>
      <c r="G9" s="146"/>
      <c r="H9" s="147">
        <f>'USE OF CASH FCST DATA'!K8</f>
        <v>6683.6</v>
      </c>
      <c r="I9" s="147">
        <f>'USE OF CASH FCST DATA'!L8</f>
        <v>8688.68</v>
      </c>
      <c r="J9" s="147">
        <f>'USE OF CASH FCST DATA'!M8</f>
        <v>11295.284000000001</v>
      </c>
      <c r="K9" s="128"/>
      <c r="L9" s="128"/>
      <c r="M9" s="128"/>
      <c r="N9" s="128"/>
      <c r="O9" s="128"/>
    </row>
    <row r="10" spans="1:15" ht="14.25">
      <c r="A10" s="55"/>
      <c r="B10" s="56"/>
      <c r="C10" s="56"/>
      <c r="D10" s="57"/>
      <c r="E10" s="43"/>
      <c r="F10" s="43"/>
      <c r="G10" s="43"/>
      <c r="H10" s="58"/>
      <c r="I10" s="58"/>
      <c r="J10" s="58"/>
      <c r="K10" s="58"/>
      <c r="L10" s="58"/>
      <c r="M10" s="58"/>
      <c r="N10" s="58"/>
      <c r="O10" s="59"/>
    </row>
    <row r="11" spans="1:15" ht="15">
      <c r="A11" s="42"/>
      <c r="B11" s="43"/>
      <c r="C11" s="43"/>
      <c r="D11" s="43"/>
      <c r="E11" s="60" t="s">
        <v>119</v>
      </c>
      <c r="F11" s="61"/>
      <c r="G11" s="61"/>
      <c r="H11" s="61"/>
      <c r="I11" s="62"/>
      <c r="J11" s="43"/>
      <c r="K11" s="60" t="s">
        <v>120</v>
      </c>
      <c r="L11" s="61"/>
      <c r="M11" s="61"/>
      <c r="N11" s="61"/>
      <c r="O11" s="62"/>
    </row>
    <row r="12" spans="1:15" ht="14.25">
      <c r="A12" s="42"/>
      <c r="B12" s="43"/>
      <c r="C12" s="43"/>
      <c r="D12" s="43"/>
      <c r="E12" s="63"/>
      <c r="F12" s="64"/>
      <c r="G12" s="64"/>
      <c r="H12" s="64"/>
      <c r="I12" s="65"/>
      <c r="J12" s="43"/>
      <c r="K12" s="63"/>
      <c r="L12" s="64"/>
      <c r="M12" s="64"/>
      <c r="N12" s="64"/>
      <c r="O12" s="65"/>
    </row>
    <row r="13" spans="1:15" ht="14.25">
      <c r="A13" s="42"/>
      <c r="B13" s="43"/>
      <c r="C13" s="43"/>
      <c r="D13" s="43"/>
      <c r="E13" s="42" t="s">
        <v>121</v>
      </c>
      <c r="F13" s="43"/>
      <c r="G13" s="43"/>
      <c r="H13" s="43"/>
      <c r="I13" s="120"/>
      <c r="J13" s="43"/>
      <c r="K13" s="42" t="s">
        <v>121</v>
      </c>
      <c r="L13" s="43"/>
      <c r="M13" s="43"/>
      <c r="N13" s="43"/>
      <c r="O13" s="120"/>
    </row>
    <row r="14" spans="1:15" ht="14.25">
      <c r="A14" s="42"/>
      <c r="B14" s="43"/>
      <c r="C14" s="43"/>
      <c r="D14" s="43"/>
      <c r="E14" s="66" t="s">
        <v>122</v>
      </c>
      <c r="F14" s="67"/>
      <c r="G14" s="68"/>
      <c r="H14" s="43"/>
      <c r="I14" s="69"/>
      <c r="J14" s="43"/>
      <c r="K14" s="66" t="s">
        <v>122</v>
      </c>
      <c r="L14" s="67"/>
      <c r="M14" s="68"/>
      <c r="N14" s="43"/>
      <c r="O14" s="69"/>
    </row>
    <row r="15" spans="1:15" ht="14.25">
      <c r="A15" s="42"/>
      <c r="B15" s="43"/>
      <c r="C15" s="43"/>
      <c r="D15" s="43"/>
      <c r="E15" s="42"/>
      <c r="F15" s="43"/>
      <c r="G15" s="43"/>
      <c r="H15" s="43"/>
      <c r="I15" s="45"/>
      <c r="J15" s="43"/>
      <c r="K15" s="42"/>
      <c r="L15" s="43"/>
      <c r="M15" s="43"/>
      <c r="N15" s="43"/>
      <c r="O15" s="45"/>
    </row>
    <row r="16" spans="1:15" ht="15">
      <c r="A16" s="42"/>
      <c r="B16" s="43"/>
      <c r="C16" s="43"/>
      <c r="D16" s="43"/>
      <c r="E16" s="70" t="str">
        <f>"Normalized FCFF post "&amp;N3</f>
        <v xml:space="preserve">Normalized FCFF post </v>
      </c>
      <c r="F16" s="67"/>
      <c r="G16" s="68"/>
      <c r="H16" s="43"/>
      <c r="I16" s="121"/>
      <c r="J16" s="43"/>
      <c r="K16" s="70" t="s">
        <v>123</v>
      </c>
      <c r="L16" s="67"/>
      <c r="M16" s="68"/>
      <c r="N16" s="43"/>
      <c r="O16" s="122"/>
    </row>
    <row r="17" spans="1:15" ht="14.25">
      <c r="A17" s="42"/>
      <c r="B17" s="43"/>
      <c r="C17" s="43"/>
      <c r="D17" s="43"/>
      <c r="E17" s="71" t="s">
        <v>124</v>
      </c>
      <c r="F17" s="43"/>
      <c r="G17" s="43"/>
      <c r="H17" s="43"/>
      <c r="I17" s="72"/>
      <c r="J17" s="43"/>
      <c r="K17" s="71" t="s">
        <v>124</v>
      </c>
      <c r="L17" s="43"/>
      <c r="M17" s="43"/>
      <c r="N17" s="43"/>
      <c r="O17" s="72"/>
    </row>
    <row r="18" spans="1:15" ht="15">
      <c r="A18" s="42"/>
      <c r="B18" s="43"/>
      <c r="C18" s="43"/>
      <c r="D18" s="43"/>
      <c r="E18" s="70" t="s">
        <v>125</v>
      </c>
      <c r="F18" s="67"/>
      <c r="G18" s="68"/>
      <c r="H18" s="43"/>
      <c r="I18" s="69"/>
      <c r="J18" s="43"/>
      <c r="K18" s="70" t="s">
        <v>126</v>
      </c>
      <c r="L18" s="67"/>
      <c r="M18" s="68"/>
      <c r="N18" s="43"/>
      <c r="O18" s="69"/>
    </row>
    <row r="19" spans="1:15" ht="14.25">
      <c r="A19" s="42"/>
      <c r="B19" s="43"/>
      <c r="C19" s="43"/>
      <c r="D19" s="43"/>
      <c r="E19" s="42"/>
      <c r="F19" s="43"/>
      <c r="G19" s="43"/>
      <c r="H19" s="43"/>
      <c r="I19" s="45"/>
      <c r="J19" s="43"/>
      <c r="K19" s="42"/>
      <c r="L19" s="43"/>
      <c r="M19" s="43"/>
      <c r="N19" s="43"/>
      <c r="O19" s="45"/>
    </row>
    <row r="20" spans="1:15" ht="15">
      <c r="A20" s="42"/>
      <c r="B20" s="43"/>
      <c r="C20" s="43"/>
      <c r="D20" s="43"/>
      <c r="E20" s="70" t="s">
        <v>127</v>
      </c>
      <c r="F20" s="73"/>
      <c r="G20" s="74"/>
      <c r="H20" s="75"/>
      <c r="I20" s="76"/>
      <c r="J20" s="43"/>
      <c r="K20" s="70" t="s">
        <v>127</v>
      </c>
      <c r="L20" s="73"/>
      <c r="M20" s="74"/>
      <c r="N20" s="75"/>
      <c r="O20" s="76"/>
    </row>
    <row r="21" spans="1:15" ht="15">
      <c r="A21" s="42"/>
      <c r="B21" s="43"/>
      <c r="C21" s="43"/>
      <c r="D21" s="43"/>
      <c r="E21" s="66" t="s">
        <v>128</v>
      </c>
      <c r="F21" s="73"/>
      <c r="G21" s="74"/>
      <c r="H21" s="75"/>
      <c r="I21" s="69"/>
      <c r="J21" s="43"/>
      <c r="K21" s="66" t="str">
        <f>E21</f>
        <v xml:space="preserve"> - Total Debt</v>
      </c>
      <c r="L21" s="73"/>
      <c r="M21" s="74"/>
      <c r="N21" s="75"/>
      <c r="O21" s="69"/>
    </row>
    <row r="22" spans="1:15" ht="15">
      <c r="A22" s="42"/>
      <c r="B22" s="43"/>
      <c r="C22" s="43"/>
      <c r="D22" s="43"/>
      <c r="E22" s="66" t="s">
        <v>129</v>
      </c>
      <c r="F22" s="73"/>
      <c r="G22" s="74"/>
      <c r="H22" s="75"/>
      <c r="I22" s="69"/>
      <c r="J22" s="43"/>
      <c r="K22" s="66" t="str">
        <f>E22</f>
        <v xml:space="preserve"> - Minority Interest</v>
      </c>
      <c r="L22" s="73"/>
      <c r="M22" s="74"/>
      <c r="N22" s="75"/>
      <c r="O22" s="69"/>
    </row>
    <row r="23" spans="1:15" ht="15">
      <c r="A23" s="42"/>
      <c r="B23" s="43"/>
      <c r="C23" s="43"/>
      <c r="D23" s="43"/>
      <c r="E23" s="66" t="s">
        <v>130</v>
      </c>
      <c r="F23" s="73"/>
      <c r="G23" s="74"/>
      <c r="H23" s="75"/>
      <c r="I23" s="69"/>
      <c r="J23" s="43"/>
      <c r="K23" s="66" t="str">
        <f>E23</f>
        <v xml:space="preserve"> - Preferred Equity</v>
      </c>
      <c r="L23" s="73"/>
      <c r="M23" s="74"/>
      <c r="N23" s="75"/>
      <c r="O23" s="69"/>
    </row>
    <row r="24" spans="1:15" ht="15">
      <c r="A24" s="42"/>
      <c r="B24" s="43"/>
      <c r="C24" s="43"/>
      <c r="D24" s="43"/>
      <c r="E24" s="66" t="s">
        <v>131</v>
      </c>
      <c r="F24" s="73"/>
      <c r="G24" s="74"/>
      <c r="H24" s="75"/>
      <c r="I24" s="69"/>
      <c r="J24" s="43"/>
      <c r="K24" s="66" t="str">
        <f>E24</f>
        <v xml:space="preserve"> + Cash</v>
      </c>
      <c r="L24" s="73"/>
      <c r="M24" s="74"/>
      <c r="N24" s="75"/>
      <c r="O24" s="69"/>
    </row>
    <row r="25" spans="1:15" ht="15">
      <c r="A25" s="42"/>
      <c r="B25" s="43"/>
      <c r="C25" s="43"/>
      <c r="D25" s="43"/>
      <c r="E25" s="77" t="s">
        <v>132</v>
      </c>
      <c r="F25" s="78"/>
      <c r="G25" s="79"/>
      <c r="H25" s="80"/>
      <c r="I25" s="81"/>
      <c r="J25" s="43"/>
      <c r="K25" s="77" t="s">
        <v>132</v>
      </c>
      <c r="L25" s="78"/>
      <c r="M25" s="79"/>
      <c r="N25" s="80"/>
      <c r="O25" s="81"/>
    </row>
    <row r="26" spans="1:15" ht="14.25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5"/>
    </row>
    <row r="27" spans="1:15" ht="14.25">
      <c r="A27" s="42"/>
      <c r="B27" s="43"/>
      <c r="C27" s="43"/>
      <c r="D27" s="43"/>
      <c r="E27" s="67" t="s">
        <v>133</v>
      </c>
      <c r="F27" s="43"/>
      <c r="G27" s="43"/>
      <c r="H27" s="43"/>
      <c r="I27" s="82"/>
      <c r="J27" s="43"/>
      <c r="K27" s="67" t="s">
        <v>133</v>
      </c>
      <c r="L27" s="43"/>
      <c r="M27" s="43"/>
      <c r="N27" s="43"/>
      <c r="O27" s="83"/>
    </row>
    <row r="28" spans="1:15" ht="14.25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5"/>
    </row>
    <row r="29" spans="1:15" ht="15">
      <c r="A29" s="84"/>
      <c r="B29" s="85"/>
      <c r="C29" s="85"/>
      <c r="D29" s="85"/>
      <c r="E29" s="123" t="s">
        <v>134</v>
      </c>
      <c r="F29" s="124"/>
      <c r="G29" s="125"/>
      <c r="H29" s="125"/>
      <c r="I29" s="126"/>
      <c r="J29" s="85"/>
      <c r="K29" s="123" t="s">
        <v>134</v>
      </c>
      <c r="L29" s="124"/>
      <c r="M29" s="125"/>
      <c r="N29" s="125"/>
      <c r="O29" s="126"/>
    </row>
  </sheetData>
  <protectedRanges>
    <protectedRange sqref="I16" name="Range1"/>
    <protectedRange sqref="O16" name="Range1_1"/>
  </protectedRanges>
  <conditionalFormatting sqref="I14 I17:I18 O17:O18 O14 I20:I25 O20:O25">
    <cfRule type="cellIs" dxfId="0" priority="1" stopIfTrue="1" operator="equal">
      <formula>0.000001</formula>
    </cfRule>
  </conditionalFormatting>
  <pageMargins left="0.7" right="0.7" top="0.75" bottom="0.75" header="0.3" footer="0.3"/>
  <ignoredErrors>
    <ignoredError sqref="H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20"/>
  <sheetViews>
    <sheetView workbookViewId="0">
      <pane ySplit="5" topLeftCell="A6" activePane="bottomLeft" state="frozen"/>
      <selection pane="bottomLeft" activeCell="F27" sqref="F27"/>
    </sheetView>
  </sheetViews>
  <sheetFormatPr defaultRowHeight="12.75"/>
  <cols>
    <col min="1" max="1" width="34.7109375" customWidth="1"/>
    <col min="2" max="6" width="14.85546875" bestFit="1" customWidth="1"/>
  </cols>
  <sheetData>
    <row r="1" spans="1:6" ht="15.95" customHeight="1">
      <c r="A1" s="28" t="s">
        <v>76</v>
      </c>
      <c r="B1" s="27"/>
      <c r="C1" s="27"/>
      <c r="D1" s="27"/>
      <c r="E1" s="27"/>
      <c r="F1" s="27"/>
    </row>
    <row r="2" spans="1:6" ht="15.95" customHeight="1">
      <c r="A2" s="29"/>
      <c r="B2" s="29" t="s">
        <v>77</v>
      </c>
      <c r="C2" s="29" t="s">
        <v>78</v>
      </c>
      <c r="D2" s="29" t="s">
        <v>79</v>
      </c>
      <c r="E2" s="29" t="s">
        <v>80</v>
      </c>
      <c r="F2" s="29" t="s">
        <v>81</v>
      </c>
    </row>
    <row r="3" spans="1:6" ht="15.95" customHeight="1">
      <c r="A3" s="29"/>
      <c r="B3" s="29" t="s">
        <v>82</v>
      </c>
      <c r="C3" s="29" t="s">
        <v>83</v>
      </c>
      <c r="D3" s="29" t="s">
        <v>84</v>
      </c>
      <c r="E3" s="29" t="s">
        <v>84</v>
      </c>
      <c r="F3" s="29" t="s">
        <v>84</v>
      </c>
    </row>
    <row r="4" spans="1:6" ht="15.95" customHeight="1">
      <c r="A4" s="29"/>
      <c r="B4" s="29" t="s">
        <v>85</v>
      </c>
      <c r="C4" s="29" t="s">
        <v>85</v>
      </c>
      <c r="D4" s="29" t="s">
        <v>85</v>
      </c>
      <c r="E4" s="29" t="s">
        <v>85</v>
      </c>
      <c r="F4" s="29" t="s">
        <v>85</v>
      </c>
    </row>
    <row r="5" spans="1:6" ht="15.95" customHeight="1">
      <c r="A5" s="29"/>
      <c r="B5" s="29" t="s">
        <v>86</v>
      </c>
      <c r="C5" s="29" t="s">
        <v>86</v>
      </c>
      <c r="D5" s="29" t="s">
        <v>86</v>
      </c>
      <c r="E5" s="29" t="s">
        <v>86</v>
      </c>
      <c r="F5" s="29" t="s">
        <v>87</v>
      </c>
    </row>
    <row r="6" spans="1:6" ht="15.95" customHeight="1">
      <c r="A6" s="29" t="s">
        <v>88</v>
      </c>
      <c r="B6" s="29">
        <v>3711</v>
      </c>
      <c r="C6" s="29">
        <v>5089</v>
      </c>
      <c r="D6" s="29">
        <v>7872</v>
      </c>
      <c r="E6" s="29">
        <v>12466</v>
      </c>
      <c r="F6" s="29">
        <v>17928</v>
      </c>
    </row>
    <row r="7" spans="1:6" ht="15.95" customHeight="1">
      <c r="A7" s="29" t="s">
        <v>89</v>
      </c>
      <c r="B7" s="29">
        <v>-1955</v>
      </c>
      <c r="C7" s="29">
        <v>-4551</v>
      </c>
      <c r="D7" s="29">
        <v>-5068</v>
      </c>
      <c r="E7" s="29">
        <v>-7472</v>
      </c>
      <c r="F7" s="29">
        <v>-11703</v>
      </c>
    </row>
    <row r="8" spans="1:6" ht="15.95" customHeight="1">
      <c r="A8" s="29" t="s">
        <v>90</v>
      </c>
      <c r="B8" s="29">
        <v>-860</v>
      </c>
      <c r="C8" s="29">
        <v>-1364</v>
      </c>
      <c r="D8" s="29">
        <v>-1875</v>
      </c>
      <c r="E8" s="29">
        <v>-2153</v>
      </c>
      <c r="F8" s="29">
        <v>-2867</v>
      </c>
    </row>
    <row r="9" spans="1:6" ht="15.95" customHeight="1">
      <c r="A9" s="29" t="s">
        <v>91</v>
      </c>
      <c r="B9" s="29">
        <v>-388</v>
      </c>
      <c r="C9" s="29">
        <v>-1399</v>
      </c>
      <c r="D9" s="29">
        <v>-1415</v>
      </c>
      <c r="E9" s="29">
        <v>-2666</v>
      </c>
      <c r="F9" s="29">
        <v>-4816</v>
      </c>
    </row>
    <row r="10" spans="1:6" ht="15.95" customHeight="1">
      <c r="A10" s="29" t="s">
        <v>92</v>
      </c>
      <c r="B10" s="29">
        <v>-393</v>
      </c>
      <c r="C10" s="29">
        <v>-896</v>
      </c>
      <c r="D10" s="29">
        <v>-997</v>
      </c>
      <c r="E10" s="29">
        <v>-1680</v>
      </c>
      <c r="F10" s="29">
        <v>-2725</v>
      </c>
    </row>
    <row r="11" spans="1:6" ht="15.95" customHeight="1">
      <c r="A11" s="29" t="s">
        <v>93</v>
      </c>
      <c r="B11" s="29">
        <v>-314</v>
      </c>
      <c r="C11" s="29">
        <v>-892</v>
      </c>
      <c r="D11" s="29">
        <v>-781</v>
      </c>
      <c r="E11" s="29">
        <v>-973</v>
      </c>
      <c r="F11" s="29">
        <v>-1295</v>
      </c>
    </row>
    <row r="12" spans="1:6" ht="15.95" customHeight="1">
      <c r="A12" s="29" t="s">
        <v>94</v>
      </c>
      <c r="B12" s="29">
        <v>1756</v>
      </c>
      <c r="C12" s="29">
        <v>538</v>
      </c>
      <c r="D12" s="29">
        <v>2804</v>
      </c>
      <c r="E12" s="29">
        <v>4994</v>
      </c>
      <c r="F12" s="29">
        <v>6225</v>
      </c>
    </row>
    <row r="13" spans="1:6" ht="15.95" customHeight="1">
      <c r="A13" s="29" t="s">
        <v>95</v>
      </c>
      <c r="B13" s="29">
        <v>-61</v>
      </c>
      <c r="C13" s="29">
        <v>-44</v>
      </c>
      <c r="D13" s="29">
        <v>-50</v>
      </c>
      <c r="E13" s="29">
        <v>-84</v>
      </c>
      <c r="F13" s="29">
        <v>-31</v>
      </c>
    </row>
    <row r="14" spans="1:6" ht="15.95" customHeight="1">
      <c r="A14" s="29" t="s">
        <v>96</v>
      </c>
      <c r="B14" s="29">
        <v>-42</v>
      </c>
      <c r="C14" s="29" t="s">
        <v>97</v>
      </c>
      <c r="D14" s="29" t="s">
        <v>97</v>
      </c>
      <c r="E14" s="29" t="s">
        <v>97</v>
      </c>
      <c r="F14" s="29" t="s">
        <v>97</v>
      </c>
    </row>
    <row r="15" spans="1:6" ht="15.95" customHeight="1">
      <c r="A15" s="29" t="s">
        <v>98</v>
      </c>
      <c r="B15" s="29">
        <v>-19</v>
      </c>
      <c r="C15" s="29" t="s">
        <v>97</v>
      </c>
      <c r="D15" s="29" t="s">
        <v>97</v>
      </c>
      <c r="E15" s="29" t="s">
        <v>97</v>
      </c>
      <c r="F15" s="29" t="s">
        <v>97</v>
      </c>
    </row>
    <row r="16" spans="1:6" ht="15.95" customHeight="1">
      <c r="A16" s="29" t="s">
        <v>99</v>
      </c>
      <c r="B16" s="29">
        <v>1695</v>
      </c>
      <c r="C16" s="29">
        <v>494</v>
      </c>
      <c r="D16" s="29">
        <v>2754</v>
      </c>
      <c r="E16" s="29">
        <v>4910</v>
      </c>
      <c r="F16" s="29">
        <v>6194</v>
      </c>
    </row>
    <row r="17" spans="1:6" ht="15.95" customHeight="1">
      <c r="A17" s="29" t="s">
        <v>100</v>
      </c>
      <c r="B17" s="29">
        <v>-695</v>
      </c>
      <c r="C17" s="29">
        <v>-441</v>
      </c>
      <c r="D17" s="29">
        <v>-1254</v>
      </c>
      <c r="E17" s="29">
        <v>-1970</v>
      </c>
      <c r="F17" s="29">
        <v>-2506</v>
      </c>
    </row>
    <row r="18" spans="1:6" ht="15.95" customHeight="1">
      <c r="A18" s="29" t="s">
        <v>101</v>
      </c>
      <c r="B18" s="29">
        <v>1000</v>
      </c>
      <c r="C18" s="29">
        <v>53</v>
      </c>
      <c r="D18" s="29">
        <v>1500</v>
      </c>
      <c r="E18" s="29">
        <v>2940</v>
      </c>
      <c r="F18" s="29">
        <v>3688</v>
      </c>
    </row>
    <row r="19" spans="1:6" ht="15.95" customHeight="1">
      <c r="A19" s="29" t="s">
        <v>102</v>
      </c>
      <c r="B19" s="29">
        <v>-332</v>
      </c>
      <c r="C19" s="29">
        <v>-21</v>
      </c>
      <c r="D19" s="29">
        <v>-9</v>
      </c>
      <c r="E19" s="29">
        <v>-15</v>
      </c>
      <c r="F19" s="29">
        <v>-19</v>
      </c>
    </row>
    <row r="20" spans="1:6" ht="15.95" customHeight="1">
      <c r="A20" s="29" t="s">
        <v>103</v>
      </c>
      <c r="B20" s="29">
        <v>668</v>
      </c>
      <c r="C20" s="29">
        <v>32</v>
      </c>
      <c r="D20" s="29">
        <v>1491</v>
      </c>
      <c r="E20" s="29">
        <v>2925</v>
      </c>
      <c r="F20" s="29">
        <v>3669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63"/>
  <sheetViews>
    <sheetView workbookViewId="0">
      <pane ySplit="5" topLeftCell="A6" activePane="bottomLeft" state="frozen"/>
      <selection pane="bottomLeft" activeCell="A8" sqref="A8"/>
    </sheetView>
  </sheetViews>
  <sheetFormatPr defaultRowHeight="12.75"/>
  <cols>
    <col min="1" max="1" width="125.28515625" bestFit="1" customWidth="1"/>
    <col min="2" max="6" width="14.85546875" bestFit="1" customWidth="1"/>
  </cols>
  <sheetData>
    <row r="1" spans="1:6" ht="15.95" customHeight="1">
      <c r="A1" s="133" t="s">
        <v>145</v>
      </c>
      <c r="B1" s="132"/>
      <c r="C1" s="132"/>
      <c r="D1" s="132"/>
      <c r="E1" s="132"/>
      <c r="F1" s="132"/>
    </row>
    <row r="2" spans="1:6" ht="15.95" customHeight="1">
      <c r="A2" s="134"/>
      <c r="B2" s="134" t="s">
        <v>77</v>
      </c>
      <c r="C2" s="134" t="s">
        <v>78</v>
      </c>
      <c r="D2" s="134" t="s">
        <v>79</v>
      </c>
      <c r="E2" s="134" t="s">
        <v>80</v>
      </c>
      <c r="F2" s="134" t="s">
        <v>81</v>
      </c>
    </row>
    <row r="3" spans="1:6" ht="15.95" customHeight="1">
      <c r="A3" s="134"/>
      <c r="B3" s="134" t="s">
        <v>82</v>
      </c>
      <c r="C3" s="134" t="s">
        <v>83</v>
      </c>
      <c r="D3" s="134" t="s">
        <v>84</v>
      </c>
      <c r="E3" s="134" t="s">
        <v>84</v>
      </c>
      <c r="F3" s="134" t="s">
        <v>84</v>
      </c>
    </row>
    <row r="4" spans="1:6" ht="15.95" customHeight="1">
      <c r="A4" s="134"/>
      <c r="B4" s="134" t="s">
        <v>85</v>
      </c>
      <c r="C4" s="134" t="s">
        <v>85</v>
      </c>
      <c r="D4" s="134" t="s">
        <v>85</v>
      </c>
      <c r="E4" s="134" t="s">
        <v>85</v>
      </c>
      <c r="F4" s="134" t="s">
        <v>85</v>
      </c>
    </row>
    <row r="5" spans="1:6" ht="15.95" customHeight="1">
      <c r="A5" s="134"/>
      <c r="B5" s="134" t="s">
        <v>86</v>
      </c>
      <c r="C5" s="134" t="s">
        <v>86</v>
      </c>
      <c r="D5" s="134" t="s">
        <v>86</v>
      </c>
      <c r="E5" s="134" t="s">
        <v>86</v>
      </c>
      <c r="F5" s="134" t="s">
        <v>87</v>
      </c>
    </row>
    <row r="6" spans="1:6" ht="15.95" customHeight="1">
      <c r="A6" s="134" t="s">
        <v>146</v>
      </c>
      <c r="B6" s="134">
        <v>1549</v>
      </c>
      <c r="C6" s="134">
        <v>1612</v>
      </c>
      <c r="D6" s="134">
        <v>4222</v>
      </c>
      <c r="E6" s="134">
        <v>5457</v>
      </c>
      <c r="F6" s="134">
        <v>8599</v>
      </c>
    </row>
    <row r="7" spans="1:6" ht="15.95" customHeight="1">
      <c r="A7" s="134" t="s">
        <v>147</v>
      </c>
      <c r="B7" s="134">
        <v>1000</v>
      </c>
      <c r="C7" s="134">
        <v>53</v>
      </c>
      <c r="D7" s="134">
        <v>1500</v>
      </c>
      <c r="E7" s="134">
        <v>2940</v>
      </c>
      <c r="F7" s="134">
        <v>3688</v>
      </c>
    </row>
    <row r="8" spans="1:6" ht="15.95" customHeight="1">
      <c r="A8" s="134" t="s">
        <v>148</v>
      </c>
      <c r="B8" s="134">
        <v>514</v>
      </c>
      <c r="C8" s="134">
        <v>2058</v>
      </c>
      <c r="D8" s="134">
        <v>2046</v>
      </c>
      <c r="E8" s="134">
        <v>2779</v>
      </c>
      <c r="F8" s="134">
        <v>4127</v>
      </c>
    </row>
    <row r="9" spans="1:6" ht="15.95" customHeight="1">
      <c r="A9" s="134" t="s">
        <v>149</v>
      </c>
      <c r="B9" s="134">
        <v>323</v>
      </c>
      <c r="C9" s="134">
        <v>649</v>
      </c>
      <c r="D9" s="134">
        <v>1011</v>
      </c>
      <c r="E9" s="134">
        <v>1243</v>
      </c>
      <c r="F9" s="134">
        <v>1945</v>
      </c>
    </row>
    <row r="10" spans="1:6" ht="15.95" customHeight="1">
      <c r="A10" s="134" t="s">
        <v>150</v>
      </c>
      <c r="B10" s="134">
        <v>4</v>
      </c>
      <c r="C10" s="134" t="s">
        <v>97</v>
      </c>
      <c r="D10" s="134" t="s">
        <v>97</v>
      </c>
      <c r="E10" s="134" t="s">
        <v>97</v>
      </c>
      <c r="F10" s="134" t="s">
        <v>97</v>
      </c>
    </row>
    <row r="11" spans="1:6" ht="15.95" customHeight="1">
      <c r="A11" s="134" t="s">
        <v>151</v>
      </c>
      <c r="B11" s="134">
        <v>217</v>
      </c>
      <c r="C11" s="134">
        <v>1572</v>
      </c>
      <c r="D11" s="134">
        <v>906</v>
      </c>
      <c r="E11" s="134">
        <v>1786</v>
      </c>
      <c r="F11" s="134">
        <v>2960</v>
      </c>
    </row>
    <row r="12" spans="1:6" ht="15.95" customHeight="1">
      <c r="A12" s="134" t="s">
        <v>152</v>
      </c>
      <c r="B12" s="134">
        <v>-30</v>
      </c>
      <c r="C12" s="134">
        <v>-186</v>
      </c>
      <c r="D12" s="134">
        <v>-37</v>
      </c>
      <c r="E12" s="134">
        <v>-210</v>
      </c>
      <c r="F12" s="134">
        <v>-795</v>
      </c>
    </row>
    <row r="13" spans="1:6" ht="15.95" customHeight="1">
      <c r="A13" s="134" t="s">
        <v>153</v>
      </c>
      <c r="B13" s="134">
        <v>433</v>
      </c>
      <c r="C13" s="134">
        <v>1033</v>
      </c>
      <c r="D13" s="134">
        <v>602</v>
      </c>
      <c r="E13" s="134">
        <v>1853</v>
      </c>
      <c r="F13" s="134">
        <v>1721</v>
      </c>
    </row>
    <row r="14" spans="1:6" ht="15.95" customHeight="1">
      <c r="A14" s="134" t="s">
        <v>154</v>
      </c>
      <c r="B14" s="134">
        <v>-433</v>
      </c>
      <c r="C14" s="134">
        <v>-1033</v>
      </c>
      <c r="D14" s="134">
        <v>-609</v>
      </c>
      <c r="E14" s="134">
        <v>-1869</v>
      </c>
      <c r="F14" s="134">
        <v>-1721</v>
      </c>
    </row>
    <row r="15" spans="1:6" ht="15.95" customHeight="1">
      <c r="A15" s="134" t="s">
        <v>155</v>
      </c>
      <c r="B15" s="134">
        <v>0</v>
      </c>
      <c r="C15" s="134">
        <v>23</v>
      </c>
      <c r="D15" s="134">
        <v>173</v>
      </c>
      <c r="E15" s="134">
        <v>-24</v>
      </c>
      <c r="F15" s="134">
        <v>17</v>
      </c>
    </row>
    <row r="16" spans="1:6" ht="15.95" customHeight="1">
      <c r="A16" s="134" t="s">
        <v>156</v>
      </c>
      <c r="B16" s="134">
        <v>0</v>
      </c>
      <c r="C16" s="134">
        <v>8</v>
      </c>
      <c r="D16" s="134">
        <v>117</v>
      </c>
      <c r="E16" s="134">
        <v>-31</v>
      </c>
      <c r="F16" s="134">
        <v>0</v>
      </c>
    </row>
    <row r="17" spans="1:6" ht="15.95" customHeight="1">
      <c r="A17" s="134" t="s">
        <v>157</v>
      </c>
      <c r="B17" s="134" t="s">
        <v>97</v>
      </c>
      <c r="C17" s="134">
        <v>15</v>
      </c>
      <c r="D17" s="134">
        <v>56</v>
      </c>
      <c r="E17" s="134">
        <v>7</v>
      </c>
      <c r="F17" s="134">
        <v>17</v>
      </c>
    </row>
    <row r="18" spans="1:6" ht="15.95" customHeight="1">
      <c r="A18" s="134" t="s">
        <v>158</v>
      </c>
      <c r="B18" s="134">
        <v>35</v>
      </c>
      <c r="C18" s="134">
        <v>-499</v>
      </c>
      <c r="D18" s="134">
        <v>676</v>
      </c>
      <c r="E18" s="134">
        <v>-262</v>
      </c>
      <c r="F18" s="134">
        <v>784</v>
      </c>
    </row>
    <row r="19" spans="1:6" ht="15.95" customHeight="1">
      <c r="A19" s="134" t="s">
        <v>159</v>
      </c>
      <c r="B19" s="134">
        <v>-174</v>
      </c>
      <c r="C19" s="134">
        <v>-170</v>
      </c>
      <c r="D19" s="134">
        <v>-378</v>
      </c>
      <c r="E19" s="134">
        <v>-610</v>
      </c>
      <c r="F19" s="134">
        <v>-973</v>
      </c>
    </row>
    <row r="20" spans="1:6" ht="15.95" customHeight="1">
      <c r="A20" s="134" t="s">
        <v>160</v>
      </c>
      <c r="B20" s="134">
        <v>-24</v>
      </c>
      <c r="C20" s="134">
        <v>-465</v>
      </c>
      <c r="D20" s="134">
        <v>355</v>
      </c>
      <c r="E20" s="134">
        <v>-123</v>
      </c>
      <c r="F20" s="134">
        <v>-144</v>
      </c>
    </row>
    <row r="21" spans="1:6" ht="15.95" customHeight="1">
      <c r="A21" s="134" t="s">
        <v>161</v>
      </c>
      <c r="B21" s="134">
        <v>0</v>
      </c>
      <c r="C21" s="134" t="s">
        <v>97</v>
      </c>
      <c r="D21" s="134" t="s">
        <v>97</v>
      </c>
      <c r="E21" s="134" t="s">
        <v>97</v>
      </c>
      <c r="F21" s="134" t="s">
        <v>97</v>
      </c>
    </row>
    <row r="22" spans="1:6" ht="15.95" customHeight="1">
      <c r="A22" s="134" t="s">
        <v>162</v>
      </c>
      <c r="B22" s="134">
        <v>-24</v>
      </c>
      <c r="C22" s="134" t="s">
        <v>97</v>
      </c>
      <c r="D22" s="134" t="s">
        <v>97</v>
      </c>
      <c r="E22" s="134" t="s">
        <v>97</v>
      </c>
      <c r="F22" s="134" t="s">
        <v>97</v>
      </c>
    </row>
    <row r="23" spans="1:6" ht="15.95" customHeight="1">
      <c r="A23" s="134" t="s">
        <v>163</v>
      </c>
      <c r="B23" s="134">
        <v>-5</v>
      </c>
      <c r="C23" s="134">
        <v>2</v>
      </c>
      <c r="D23" s="134">
        <v>-142</v>
      </c>
      <c r="E23" s="134">
        <v>-216</v>
      </c>
      <c r="F23" s="134">
        <v>-3</v>
      </c>
    </row>
    <row r="24" spans="1:6" ht="15.95" customHeight="1">
      <c r="A24" s="134" t="s">
        <v>164</v>
      </c>
      <c r="B24" s="134">
        <v>6</v>
      </c>
      <c r="C24" s="134">
        <v>1</v>
      </c>
      <c r="D24" s="134">
        <v>26</v>
      </c>
      <c r="E24" s="134">
        <v>31</v>
      </c>
      <c r="F24" s="134">
        <v>18</v>
      </c>
    </row>
    <row r="25" spans="1:6" ht="15.95" customHeight="1">
      <c r="A25" s="134" t="s">
        <v>165</v>
      </c>
      <c r="B25" s="134">
        <v>96</v>
      </c>
      <c r="C25" s="134">
        <v>-2</v>
      </c>
      <c r="D25" s="134">
        <v>12</v>
      </c>
      <c r="E25" s="134">
        <v>-28</v>
      </c>
      <c r="F25" s="134">
        <v>17</v>
      </c>
    </row>
    <row r="26" spans="1:6" ht="15.95" customHeight="1">
      <c r="A26" s="134" t="s">
        <v>166</v>
      </c>
      <c r="B26" s="134">
        <v>37</v>
      </c>
      <c r="C26" s="134">
        <v>152</v>
      </c>
      <c r="D26" s="134">
        <v>-38</v>
      </c>
      <c r="E26" s="134">
        <v>328</v>
      </c>
      <c r="F26" s="134">
        <v>513</v>
      </c>
    </row>
    <row r="27" spans="1:6" ht="15.95" customHeight="1">
      <c r="A27" s="134" t="s">
        <v>167</v>
      </c>
      <c r="B27" s="134">
        <v>49</v>
      </c>
      <c r="C27" s="134">
        <v>-60</v>
      </c>
      <c r="D27" s="134">
        <v>8</v>
      </c>
      <c r="E27" s="134">
        <v>10</v>
      </c>
      <c r="F27" s="134">
        <v>-9</v>
      </c>
    </row>
    <row r="28" spans="1:6" ht="15.95" customHeight="1">
      <c r="A28" s="134" t="s">
        <v>168</v>
      </c>
      <c r="B28" s="134">
        <v>50</v>
      </c>
      <c r="C28" s="134">
        <v>43</v>
      </c>
      <c r="D28" s="134">
        <v>833</v>
      </c>
      <c r="E28" s="134">
        <v>346</v>
      </c>
      <c r="F28" s="134">
        <v>1365</v>
      </c>
    </row>
    <row r="29" spans="1:6" ht="15.95" customHeight="1">
      <c r="A29" s="134" t="s">
        <v>169</v>
      </c>
      <c r="B29" s="134">
        <v>-3023</v>
      </c>
      <c r="C29" s="134">
        <v>-7024</v>
      </c>
      <c r="D29" s="134">
        <v>-2624</v>
      </c>
      <c r="E29" s="134">
        <v>-5913</v>
      </c>
      <c r="F29" s="134">
        <v>-9434</v>
      </c>
    </row>
    <row r="30" spans="1:6" ht="15.95" customHeight="1">
      <c r="A30" s="134" t="s">
        <v>170</v>
      </c>
      <c r="B30" s="134">
        <v>-606</v>
      </c>
      <c r="C30" s="134">
        <v>-1235</v>
      </c>
      <c r="D30" s="134">
        <v>-1362</v>
      </c>
      <c r="E30" s="134">
        <v>-1831</v>
      </c>
      <c r="F30" s="134">
        <v>-2523</v>
      </c>
    </row>
    <row r="31" spans="1:6" ht="15.95" customHeight="1">
      <c r="A31" s="134" t="s">
        <v>171</v>
      </c>
      <c r="B31" s="134">
        <v>-3025</v>
      </c>
      <c r="C31" s="134">
        <v>-10307</v>
      </c>
      <c r="D31" s="134">
        <v>-7433</v>
      </c>
      <c r="E31" s="134">
        <v>-9104</v>
      </c>
      <c r="F31" s="134">
        <v>-15938</v>
      </c>
    </row>
    <row r="32" spans="1:6" ht="15.95" customHeight="1">
      <c r="A32" s="134" t="s">
        <v>172</v>
      </c>
      <c r="B32" s="134">
        <v>113</v>
      </c>
      <c r="C32" s="134">
        <v>2100</v>
      </c>
      <c r="D32" s="134">
        <v>2988</v>
      </c>
      <c r="E32" s="134">
        <v>8438</v>
      </c>
      <c r="F32" s="134">
        <v>6928</v>
      </c>
    </row>
    <row r="33" spans="1:6" ht="15.95" customHeight="1">
      <c r="A33" s="134" t="s">
        <v>173</v>
      </c>
      <c r="B33" s="134">
        <v>516</v>
      </c>
      <c r="C33" s="134">
        <v>3333</v>
      </c>
      <c r="D33" s="134">
        <v>3563</v>
      </c>
      <c r="E33" s="134">
        <v>1909</v>
      </c>
      <c r="F33" s="134">
        <v>2310</v>
      </c>
    </row>
    <row r="34" spans="1:6" ht="15.95" customHeight="1">
      <c r="A34" s="134" t="s">
        <v>174</v>
      </c>
      <c r="B34" s="134">
        <v>-24</v>
      </c>
      <c r="C34" s="134">
        <v>-911</v>
      </c>
      <c r="D34" s="134">
        <v>-368</v>
      </c>
      <c r="E34" s="134">
        <v>-4975</v>
      </c>
      <c r="F34" s="134">
        <v>-313</v>
      </c>
    </row>
    <row r="35" spans="1:6" ht="15.95" customHeight="1">
      <c r="A35" s="134" t="s">
        <v>175</v>
      </c>
      <c r="B35" s="134">
        <v>3</v>
      </c>
      <c r="C35" s="134">
        <v>-4</v>
      </c>
      <c r="D35" s="134">
        <v>-12</v>
      </c>
      <c r="E35" s="134">
        <v>-350</v>
      </c>
      <c r="F35" s="134">
        <v>102</v>
      </c>
    </row>
    <row r="36" spans="1:6" ht="15.95" customHeight="1">
      <c r="A36" s="134" t="s">
        <v>176</v>
      </c>
      <c r="B36" s="134">
        <v>-3</v>
      </c>
      <c r="C36" s="134" t="s">
        <v>97</v>
      </c>
      <c r="D36" s="134" t="s">
        <v>97</v>
      </c>
      <c r="E36" s="134" t="s">
        <v>97</v>
      </c>
      <c r="F36" s="134" t="s">
        <v>97</v>
      </c>
    </row>
    <row r="37" spans="1:6" ht="15.95" customHeight="1">
      <c r="A37" s="134" t="s">
        <v>177</v>
      </c>
      <c r="B37" s="134">
        <v>6</v>
      </c>
      <c r="C37" s="134">
        <v>-2</v>
      </c>
      <c r="D37" s="134">
        <v>-11</v>
      </c>
      <c r="E37" s="134">
        <v>-348</v>
      </c>
      <c r="F37" s="134">
        <v>102</v>
      </c>
    </row>
    <row r="38" spans="1:6" ht="15.95" customHeight="1">
      <c r="A38" s="134" t="s">
        <v>178</v>
      </c>
      <c r="B38" s="134" t="s">
        <v>97</v>
      </c>
      <c r="C38" s="134">
        <v>-2</v>
      </c>
      <c r="D38" s="134">
        <v>-1</v>
      </c>
      <c r="E38" s="134">
        <v>-2</v>
      </c>
      <c r="F38" s="134">
        <v>0</v>
      </c>
    </row>
    <row r="39" spans="1:6" ht="15.95" customHeight="1">
      <c r="A39" s="134" t="s">
        <v>179</v>
      </c>
      <c r="B39" s="134">
        <v>1198</v>
      </c>
      <c r="C39" s="134">
        <v>6283</v>
      </c>
      <c r="D39" s="134">
        <v>-667</v>
      </c>
      <c r="E39" s="134">
        <v>1571</v>
      </c>
      <c r="F39" s="134">
        <v>1582</v>
      </c>
    </row>
    <row r="40" spans="1:6" ht="15.95" customHeight="1">
      <c r="A40" s="134" t="s">
        <v>180</v>
      </c>
      <c r="B40" s="134" t="s">
        <v>97</v>
      </c>
      <c r="C40" s="134" t="s">
        <v>97</v>
      </c>
      <c r="D40" s="134" t="s">
        <v>97</v>
      </c>
      <c r="E40" s="134" t="s">
        <v>97</v>
      </c>
      <c r="F40" s="134" t="s">
        <v>97</v>
      </c>
    </row>
    <row r="41" spans="1:6" ht="15.95" customHeight="1">
      <c r="A41" s="134" t="s">
        <v>181</v>
      </c>
      <c r="B41" s="134">
        <v>998</v>
      </c>
      <c r="C41" s="134">
        <v>6760</v>
      </c>
      <c r="D41" s="134">
        <v>1478</v>
      </c>
      <c r="E41" s="134">
        <v>0</v>
      </c>
      <c r="F41" s="134">
        <v>0</v>
      </c>
    </row>
    <row r="42" spans="1:6" ht="15.95" customHeight="1">
      <c r="A42" s="134" t="s">
        <v>182</v>
      </c>
      <c r="B42" s="134">
        <v>0</v>
      </c>
      <c r="C42" s="134">
        <v>-2862</v>
      </c>
      <c r="D42" s="134">
        <v>-889</v>
      </c>
      <c r="E42" s="134">
        <v>-73</v>
      </c>
      <c r="F42" s="134">
        <v>-20</v>
      </c>
    </row>
    <row r="43" spans="1:6" ht="15.95" customHeight="1">
      <c r="A43" s="134" t="s">
        <v>183</v>
      </c>
      <c r="B43" s="134">
        <v>28</v>
      </c>
      <c r="C43" s="134">
        <v>17</v>
      </c>
      <c r="D43" s="134">
        <v>26</v>
      </c>
      <c r="E43" s="134">
        <v>18</v>
      </c>
      <c r="F43" s="134">
        <v>0</v>
      </c>
    </row>
    <row r="44" spans="1:6" ht="15.95" customHeight="1">
      <c r="A44" s="134" t="s">
        <v>184</v>
      </c>
      <c r="B44" s="134">
        <v>-250</v>
      </c>
      <c r="C44" s="134">
        <v>1496</v>
      </c>
      <c r="D44" s="134">
        <v>-1500</v>
      </c>
      <c r="E44" s="134">
        <v>0</v>
      </c>
      <c r="F44" s="134">
        <v>0</v>
      </c>
    </row>
    <row r="45" spans="1:6" ht="15.95" customHeight="1">
      <c r="A45" s="134" t="s">
        <v>185</v>
      </c>
      <c r="B45" s="134">
        <v>0</v>
      </c>
      <c r="C45" s="134">
        <v>1496</v>
      </c>
      <c r="D45" s="134" t="s">
        <v>97</v>
      </c>
      <c r="E45" s="134" t="s">
        <v>97</v>
      </c>
      <c r="F45" s="134" t="s">
        <v>97</v>
      </c>
    </row>
    <row r="46" spans="1:6" ht="15.95" customHeight="1">
      <c r="A46" s="134" t="s">
        <v>186</v>
      </c>
      <c r="B46" s="134">
        <v>-250</v>
      </c>
      <c r="C46" s="134">
        <v>0</v>
      </c>
      <c r="D46" s="134">
        <v>-1500</v>
      </c>
      <c r="E46" s="134">
        <v>0</v>
      </c>
      <c r="F46" s="134">
        <v>0</v>
      </c>
    </row>
    <row r="47" spans="1:6" ht="15.95" customHeight="1">
      <c r="A47" s="134" t="s">
        <v>187</v>
      </c>
      <c r="B47" s="134">
        <v>170</v>
      </c>
      <c r="C47" s="134">
        <v>205</v>
      </c>
      <c r="D47" s="134" t="s">
        <v>97</v>
      </c>
      <c r="E47" s="134" t="s">
        <v>97</v>
      </c>
      <c r="F47" s="134" t="s">
        <v>97</v>
      </c>
    </row>
    <row r="48" spans="1:6" ht="15.95" customHeight="1">
      <c r="A48" s="134" t="s">
        <v>188</v>
      </c>
      <c r="B48" s="134">
        <v>-181</v>
      </c>
      <c r="C48" s="134">
        <v>-366</v>
      </c>
      <c r="D48" s="134">
        <v>-391</v>
      </c>
      <c r="E48" s="134">
        <v>-243</v>
      </c>
      <c r="F48" s="134">
        <v>-119</v>
      </c>
    </row>
    <row r="49" spans="1:6" ht="15.95" customHeight="1">
      <c r="A49" s="134" t="s">
        <v>189</v>
      </c>
      <c r="B49" s="134">
        <v>433</v>
      </c>
      <c r="C49" s="134">
        <v>1033</v>
      </c>
      <c r="D49" s="134">
        <v>609</v>
      </c>
      <c r="E49" s="134">
        <v>1869</v>
      </c>
      <c r="F49" s="134">
        <v>1721</v>
      </c>
    </row>
    <row r="50" spans="1:6" ht="15.95" customHeight="1">
      <c r="A50" s="134" t="s">
        <v>190</v>
      </c>
      <c r="B50" s="134">
        <v>3</v>
      </c>
      <c r="C50" s="134">
        <v>1</v>
      </c>
      <c r="D50" s="134">
        <v>8</v>
      </c>
      <c r="E50" s="134">
        <v>-123</v>
      </c>
      <c r="F50" s="134">
        <v>-155</v>
      </c>
    </row>
    <row r="51" spans="1:6" ht="15.95" customHeight="1">
      <c r="A51" s="134" t="s">
        <v>191</v>
      </c>
      <c r="B51" s="134">
        <v>-273</v>
      </c>
      <c r="C51" s="134">
        <v>872</v>
      </c>
      <c r="D51" s="134">
        <v>939</v>
      </c>
      <c r="E51" s="134">
        <v>992</v>
      </c>
      <c r="F51" s="134">
        <v>592</v>
      </c>
    </row>
    <row r="52" spans="1:6" ht="15.95" customHeight="1">
      <c r="A52" s="134" t="s">
        <v>192</v>
      </c>
      <c r="B52" s="134">
        <v>1785</v>
      </c>
      <c r="C52" s="134">
        <v>1512</v>
      </c>
      <c r="D52" s="134">
        <v>2384</v>
      </c>
      <c r="E52" s="134">
        <v>3323</v>
      </c>
      <c r="F52" s="134">
        <v>4315</v>
      </c>
    </row>
    <row r="53" spans="1:6" ht="15.95" customHeight="1">
      <c r="A53" s="134" t="s">
        <v>193</v>
      </c>
      <c r="B53" s="134">
        <v>1512</v>
      </c>
      <c r="C53" s="134">
        <v>2384</v>
      </c>
      <c r="D53" s="134">
        <v>3323</v>
      </c>
      <c r="E53" s="134">
        <v>4315</v>
      </c>
      <c r="F53" s="134">
        <v>4907</v>
      </c>
    </row>
    <row r="54" spans="1:6" ht="15.95" customHeight="1">
      <c r="A54" s="134" t="s">
        <v>194</v>
      </c>
      <c r="B54" s="134" t="s">
        <v>97</v>
      </c>
      <c r="C54" s="134" t="s">
        <v>97</v>
      </c>
      <c r="D54" s="134" t="s">
        <v>97</v>
      </c>
      <c r="E54" s="134" t="s">
        <v>97</v>
      </c>
      <c r="F54" s="134" t="s">
        <v>97</v>
      </c>
    </row>
    <row r="55" spans="1:6" ht="15.95" customHeight="1">
      <c r="A55" s="134" t="s">
        <v>195</v>
      </c>
      <c r="B55" s="134">
        <v>-28</v>
      </c>
      <c r="C55" s="134">
        <v>-38</v>
      </c>
      <c r="D55" s="134">
        <v>-38</v>
      </c>
      <c r="E55" s="134">
        <v>-14</v>
      </c>
      <c r="F55" s="134">
        <v>-10</v>
      </c>
    </row>
    <row r="56" spans="1:6" ht="15.95" customHeight="1">
      <c r="A56" s="134" t="s">
        <v>196</v>
      </c>
      <c r="B56" s="134">
        <v>-197</v>
      </c>
      <c r="C56" s="134">
        <v>315</v>
      </c>
      <c r="D56" s="134">
        <v>339</v>
      </c>
      <c r="E56" s="134">
        <v>-178</v>
      </c>
      <c r="F56" s="134">
        <v>-270</v>
      </c>
    </row>
    <row r="57" spans="1:6" ht="15.95" customHeight="1">
      <c r="A57" s="134" t="s">
        <v>197</v>
      </c>
      <c r="B57" s="134">
        <v>-197</v>
      </c>
      <c r="C57" s="134">
        <v>184</v>
      </c>
      <c r="D57" s="134">
        <v>-82</v>
      </c>
      <c r="E57" s="134">
        <v>-184</v>
      </c>
      <c r="F57" s="134">
        <v>-273</v>
      </c>
    </row>
    <row r="58" spans="1:6" ht="15.95" customHeight="1">
      <c r="A58" s="134" t="s">
        <v>198</v>
      </c>
      <c r="B58" s="134">
        <v>0</v>
      </c>
      <c r="C58" s="134">
        <v>131</v>
      </c>
      <c r="D58" s="134">
        <v>421</v>
      </c>
      <c r="E58" s="134">
        <v>6</v>
      </c>
      <c r="F58" s="134">
        <v>3</v>
      </c>
    </row>
    <row r="59" spans="1:6" ht="15.95" customHeight="1">
      <c r="A59" s="134" t="s">
        <v>199</v>
      </c>
      <c r="B59" s="134" t="s">
        <v>97</v>
      </c>
      <c r="C59" s="134" t="s">
        <v>97</v>
      </c>
      <c r="D59" s="134" t="s">
        <v>97</v>
      </c>
      <c r="E59" s="134" t="s">
        <v>97</v>
      </c>
      <c r="F59" s="134" t="s">
        <v>97</v>
      </c>
    </row>
    <row r="60" spans="1:6" ht="15.95" customHeight="1">
      <c r="A60" s="134" t="s">
        <v>200</v>
      </c>
      <c r="B60" s="134">
        <v>135</v>
      </c>
      <c r="C60" s="134">
        <v>-40</v>
      </c>
      <c r="D60" s="134">
        <v>53</v>
      </c>
      <c r="E60" s="134">
        <v>91</v>
      </c>
      <c r="F60" s="134">
        <v>88</v>
      </c>
    </row>
    <row r="61" spans="1:6" ht="15.95" customHeight="1">
      <c r="A61" s="134" t="s">
        <v>201</v>
      </c>
      <c r="B61" s="134">
        <v>-473</v>
      </c>
      <c r="C61" s="134">
        <v>-340</v>
      </c>
      <c r="D61" s="134">
        <v>-11</v>
      </c>
      <c r="E61" s="134">
        <v>0</v>
      </c>
      <c r="F61" s="134">
        <v>0</v>
      </c>
    </row>
    <row r="62" spans="1:6" ht="15.95" customHeight="1">
      <c r="A62" s="134" t="s">
        <v>202</v>
      </c>
      <c r="B62" s="134">
        <v>58</v>
      </c>
      <c r="C62" s="134">
        <v>274</v>
      </c>
      <c r="D62" s="134">
        <v>77</v>
      </c>
      <c r="E62" s="134">
        <v>14344</v>
      </c>
      <c r="F62" s="134">
        <v>0</v>
      </c>
    </row>
    <row r="63" spans="1:6" ht="15.95" customHeight="1">
      <c r="A63" s="134" t="s">
        <v>203</v>
      </c>
      <c r="B63" s="134" t="s">
        <v>97</v>
      </c>
      <c r="C63" s="134" t="s">
        <v>97</v>
      </c>
      <c r="D63" s="134">
        <v>0</v>
      </c>
      <c r="E63" s="134">
        <v>0</v>
      </c>
      <c r="F63" s="134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9"/>
  <sheetViews>
    <sheetView workbookViewId="0">
      <pane ySplit="4" topLeftCell="A5" activePane="bottomLeft" state="frozen"/>
      <selection pane="bottomLeft" activeCell="J10" sqref="J10"/>
    </sheetView>
  </sheetViews>
  <sheetFormatPr defaultRowHeight="12.75"/>
  <cols>
    <col min="1" max="1" width="41.5703125" customWidth="1"/>
    <col min="2" max="2" width="7.140625" hidden="1" customWidth="1"/>
    <col min="3" max="4" width="8.85546875" hidden="1" customWidth="1"/>
    <col min="5" max="5" width="0.140625" hidden="1" customWidth="1"/>
    <col min="6" max="7" width="8.85546875" bestFit="1" customWidth="1"/>
  </cols>
  <sheetData>
    <row r="1" spans="1:16">
      <c r="A1" s="132" t="s">
        <v>204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6">
      <c r="A2" s="133" t="s">
        <v>205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6">
      <c r="A3" s="134" t="s">
        <v>206</v>
      </c>
      <c r="B3" s="134" t="s">
        <v>207</v>
      </c>
      <c r="C3" s="134" t="s">
        <v>208</v>
      </c>
      <c r="D3" s="134" t="s">
        <v>209</v>
      </c>
      <c r="E3" s="134" t="s">
        <v>210</v>
      </c>
      <c r="F3" s="134" t="s">
        <v>211</v>
      </c>
      <c r="G3" s="134" t="s">
        <v>212</v>
      </c>
      <c r="H3" s="134" t="s">
        <v>213</v>
      </c>
      <c r="I3" s="134" t="s">
        <v>214</v>
      </c>
      <c r="J3" s="134" t="s">
        <v>215</v>
      </c>
    </row>
    <row r="4" spans="1:16">
      <c r="A4" s="134" t="s">
        <v>206</v>
      </c>
      <c r="B4" s="134" t="s">
        <v>216</v>
      </c>
      <c r="C4" s="134" t="s">
        <v>217</v>
      </c>
      <c r="D4" s="134" t="s">
        <v>218</v>
      </c>
      <c r="E4" s="134" t="s">
        <v>218</v>
      </c>
      <c r="F4" s="134" t="s">
        <v>218</v>
      </c>
      <c r="G4" s="134" t="s">
        <v>217</v>
      </c>
      <c r="H4" s="134" t="s">
        <v>218</v>
      </c>
      <c r="I4" s="134" t="s">
        <v>218</v>
      </c>
      <c r="J4" s="134" t="s">
        <v>218</v>
      </c>
    </row>
    <row r="5" spans="1:16">
      <c r="A5" s="135" t="s">
        <v>219</v>
      </c>
      <c r="B5" s="135"/>
      <c r="C5" s="135"/>
      <c r="D5" s="135"/>
      <c r="E5" s="135"/>
      <c r="F5" s="135"/>
      <c r="G5" s="135"/>
      <c r="H5" s="135"/>
      <c r="I5" s="135"/>
      <c r="J5" s="135"/>
    </row>
    <row r="6" spans="1:16">
      <c r="A6" s="134" t="s">
        <v>220</v>
      </c>
      <c r="B6" s="136">
        <v>11</v>
      </c>
      <c r="C6" s="136">
        <v>306</v>
      </c>
      <c r="D6" s="136">
        <v>691</v>
      </c>
      <c r="E6" s="136">
        <v>1267</v>
      </c>
      <c r="F6" s="136">
        <v>1982</v>
      </c>
      <c r="G6" s="136">
        <v>5196</v>
      </c>
      <c r="H6" s="136">
        <v>12504</v>
      </c>
      <c r="I6" s="136">
        <v>12830</v>
      </c>
      <c r="J6" s="136">
        <v>12088</v>
      </c>
    </row>
    <row r="7" spans="1:16">
      <c r="A7" s="135" t="s">
        <v>221</v>
      </c>
      <c r="B7" s="135"/>
      <c r="C7" s="135"/>
      <c r="D7" s="135"/>
      <c r="E7" s="135"/>
      <c r="F7" s="135"/>
      <c r="G7" s="135"/>
      <c r="H7" s="135"/>
      <c r="I7" s="135"/>
      <c r="J7" s="135"/>
    </row>
    <row r="8" spans="1:16">
      <c r="A8" s="134" t="s">
        <v>222</v>
      </c>
      <c r="B8" s="136">
        <v>0</v>
      </c>
      <c r="C8" s="136">
        <v>0</v>
      </c>
      <c r="D8" s="136">
        <v>122</v>
      </c>
      <c r="E8" s="136">
        <v>405</v>
      </c>
      <c r="F8" s="136">
        <v>943</v>
      </c>
      <c r="G8" s="136">
        <v>377</v>
      </c>
      <c r="H8" s="136">
        <v>2860</v>
      </c>
      <c r="I8" s="136">
        <v>3626</v>
      </c>
      <c r="J8" s="136">
        <v>6076</v>
      </c>
      <c r="K8" s="143">
        <f>J8*(1+K38)</f>
        <v>6683.6</v>
      </c>
      <c r="L8" s="143">
        <f t="shared" ref="L8:M8" si="0">K8*(1+L38)</f>
        <v>8688.68</v>
      </c>
      <c r="M8" s="143">
        <f t="shared" si="0"/>
        <v>11295.284000000001</v>
      </c>
      <c r="O8" s="140"/>
      <c r="P8" s="140"/>
    </row>
    <row r="9" spans="1:16">
      <c r="A9" s="134" t="s">
        <v>223</v>
      </c>
      <c r="B9" s="136">
        <v>0</v>
      </c>
      <c r="C9" s="136">
        <v>0</v>
      </c>
      <c r="D9" s="136">
        <v>155</v>
      </c>
      <c r="E9" s="136">
        <v>698</v>
      </c>
      <c r="F9" s="136">
        <v>1549</v>
      </c>
      <c r="G9" s="136">
        <v>1612</v>
      </c>
      <c r="H9" s="136">
        <v>4222</v>
      </c>
      <c r="I9" s="136">
        <v>5457</v>
      </c>
      <c r="J9" s="136">
        <v>8599</v>
      </c>
      <c r="K9" s="143"/>
      <c r="L9" s="143"/>
      <c r="M9" s="143"/>
    </row>
    <row r="10" spans="1:16">
      <c r="A10" s="134" t="s">
        <v>224</v>
      </c>
      <c r="B10" s="136">
        <v>0</v>
      </c>
      <c r="C10" s="136">
        <v>0</v>
      </c>
      <c r="D10" s="136">
        <v>-33</v>
      </c>
      <c r="E10" s="136">
        <v>-293</v>
      </c>
      <c r="F10" s="136">
        <v>-606</v>
      </c>
      <c r="G10" s="136">
        <v>-1235</v>
      </c>
      <c r="H10" s="136">
        <v>-1362</v>
      </c>
      <c r="I10" s="136">
        <v>-1831</v>
      </c>
      <c r="J10" s="136">
        <v>-2523</v>
      </c>
      <c r="K10" s="143">
        <f>J10*(K39+1)</f>
        <v>-3910.65</v>
      </c>
      <c r="L10" s="143">
        <f t="shared" ref="L10:M10" si="1">K10*(L39+1)</f>
        <v>-5122.9515000000001</v>
      </c>
      <c r="M10" s="143">
        <f t="shared" si="1"/>
        <v>-5891.394225</v>
      </c>
    </row>
    <row r="11" spans="1:16">
      <c r="A11" s="134" t="s">
        <v>58</v>
      </c>
      <c r="B11" s="136">
        <v>11</v>
      </c>
      <c r="C11" s="136">
        <v>1</v>
      </c>
      <c r="D11" s="136">
        <v>10</v>
      </c>
      <c r="E11" s="136">
        <v>22</v>
      </c>
      <c r="F11" s="136">
        <v>42</v>
      </c>
      <c r="G11" s="136">
        <v>51</v>
      </c>
      <c r="H11" s="136">
        <v>56</v>
      </c>
      <c r="I11" s="136">
        <v>23</v>
      </c>
      <c r="J11" s="136">
        <v>23</v>
      </c>
    </row>
    <row r="12" spans="1:16">
      <c r="A12" s="134" t="s">
        <v>33</v>
      </c>
      <c r="B12" s="136">
        <v>0</v>
      </c>
      <c r="C12" s="136">
        <v>0</v>
      </c>
      <c r="D12" s="136">
        <v>0</v>
      </c>
      <c r="E12" s="136">
        <v>0</v>
      </c>
      <c r="F12" s="136">
        <v>0</v>
      </c>
      <c r="G12" s="136">
        <v>0</v>
      </c>
      <c r="H12" s="136">
        <v>0</v>
      </c>
      <c r="I12" s="136">
        <v>0</v>
      </c>
      <c r="J12" s="136">
        <v>0</v>
      </c>
    </row>
    <row r="13" spans="1:16">
      <c r="A13" s="134" t="s">
        <v>225</v>
      </c>
      <c r="B13" s="136">
        <v>0</v>
      </c>
      <c r="C13" s="136">
        <v>0</v>
      </c>
      <c r="D13" s="136">
        <v>3</v>
      </c>
      <c r="E13" s="136">
        <v>-22</v>
      </c>
      <c r="F13" s="136">
        <v>-24</v>
      </c>
      <c r="G13" s="136">
        <v>-911</v>
      </c>
      <c r="H13" s="136">
        <v>-368</v>
      </c>
      <c r="I13" s="136">
        <v>-4975</v>
      </c>
      <c r="J13" s="136">
        <v>-313</v>
      </c>
    </row>
    <row r="14" spans="1:16">
      <c r="A14" s="134" t="s">
        <v>226</v>
      </c>
      <c r="B14" s="136">
        <v>0</v>
      </c>
      <c r="C14" s="136">
        <v>0</v>
      </c>
      <c r="D14" s="136">
        <v>3</v>
      </c>
      <c r="E14" s="136">
        <v>0</v>
      </c>
      <c r="F14" s="136">
        <v>0</v>
      </c>
      <c r="G14" s="136">
        <v>0</v>
      </c>
      <c r="H14" s="136">
        <v>0</v>
      </c>
      <c r="I14" s="136">
        <v>0</v>
      </c>
      <c r="J14" s="136">
        <v>0</v>
      </c>
    </row>
    <row r="15" spans="1:16">
      <c r="A15" s="134" t="s">
        <v>227</v>
      </c>
      <c r="B15" s="136">
        <v>0</v>
      </c>
      <c r="C15" s="136">
        <v>0</v>
      </c>
      <c r="D15" s="136">
        <v>0</v>
      </c>
      <c r="E15" s="136">
        <v>-22</v>
      </c>
      <c r="F15" s="136">
        <v>-24</v>
      </c>
      <c r="G15" s="136">
        <v>-911</v>
      </c>
      <c r="H15" s="136">
        <v>-368</v>
      </c>
      <c r="I15" s="136">
        <v>-4975</v>
      </c>
      <c r="J15" s="136">
        <v>-313</v>
      </c>
    </row>
    <row r="16" spans="1:16">
      <c r="A16" s="134" t="s">
        <v>228</v>
      </c>
      <c r="B16" s="136">
        <v>0</v>
      </c>
      <c r="C16" s="136">
        <v>0</v>
      </c>
      <c r="D16" s="136">
        <v>0</v>
      </c>
      <c r="E16" s="136">
        <v>0</v>
      </c>
      <c r="F16" s="136">
        <v>-2399</v>
      </c>
      <c r="G16" s="136">
        <v>-4876</v>
      </c>
      <c r="H16" s="136">
        <v>-883</v>
      </c>
      <c r="I16" s="136">
        <v>1243</v>
      </c>
      <c r="J16" s="136">
        <v>-6700</v>
      </c>
    </row>
    <row r="17" spans="1:10">
      <c r="A17" s="134" t="s">
        <v>229</v>
      </c>
      <c r="B17" s="136">
        <v>0</v>
      </c>
      <c r="C17" s="136">
        <v>0</v>
      </c>
      <c r="D17" s="136">
        <v>50</v>
      </c>
      <c r="E17" s="136">
        <v>106</v>
      </c>
      <c r="F17" s="136">
        <v>609</v>
      </c>
      <c r="G17" s="136">
        <v>-1626</v>
      </c>
      <c r="H17" s="136">
        <v>-291</v>
      </c>
      <c r="I17" s="136">
        <v>1446</v>
      </c>
      <c r="J17" s="136">
        <v>1803</v>
      </c>
    </row>
    <row r="18" spans="1:10">
      <c r="A18" s="137" t="s">
        <v>230</v>
      </c>
      <c r="B18" s="138">
        <v>11</v>
      </c>
      <c r="C18" s="138">
        <v>1</v>
      </c>
      <c r="D18" s="138">
        <v>185</v>
      </c>
      <c r="E18" s="138">
        <v>511</v>
      </c>
      <c r="F18" s="138">
        <v>-829</v>
      </c>
      <c r="G18" s="138">
        <v>-6985</v>
      </c>
      <c r="H18" s="138">
        <v>1374</v>
      </c>
      <c r="I18" s="138">
        <v>1363</v>
      </c>
      <c r="J18" s="138">
        <v>889</v>
      </c>
    </row>
    <row r="19" spans="1:10">
      <c r="A19" s="135" t="s">
        <v>231</v>
      </c>
      <c r="B19" s="135"/>
      <c r="C19" s="135"/>
      <c r="D19" s="135"/>
      <c r="E19" s="135"/>
      <c r="F19" s="135"/>
      <c r="G19" s="135"/>
      <c r="H19" s="135"/>
      <c r="I19" s="135"/>
      <c r="J19" s="135"/>
    </row>
    <row r="20" spans="1:10">
      <c r="A20" s="134" t="s">
        <v>232</v>
      </c>
      <c r="B20" s="136">
        <v>0</v>
      </c>
      <c r="C20" s="136">
        <v>0</v>
      </c>
      <c r="D20" s="136">
        <v>0</v>
      </c>
      <c r="E20" s="136">
        <v>250</v>
      </c>
      <c r="F20" s="136">
        <v>0</v>
      </c>
      <c r="G20" s="136">
        <v>1496</v>
      </c>
      <c r="H20" s="136">
        <v>0</v>
      </c>
      <c r="I20" s="136">
        <v>0</v>
      </c>
      <c r="J20" s="136">
        <v>0</v>
      </c>
    </row>
    <row r="21" spans="1:10">
      <c r="A21" s="134" t="s">
        <v>58</v>
      </c>
      <c r="B21" s="136">
        <v>-11</v>
      </c>
      <c r="C21" s="136">
        <v>-1</v>
      </c>
      <c r="D21" s="136">
        <v>-10</v>
      </c>
      <c r="E21" s="136">
        <v>-22</v>
      </c>
      <c r="F21" s="136">
        <v>-42</v>
      </c>
      <c r="G21" s="136">
        <v>-51</v>
      </c>
      <c r="H21" s="136">
        <v>-56</v>
      </c>
      <c r="I21" s="136">
        <v>-23</v>
      </c>
      <c r="J21" s="136">
        <v>-23</v>
      </c>
    </row>
    <row r="22" spans="1:10">
      <c r="A22" s="134" t="s">
        <v>233</v>
      </c>
      <c r="B22" s="136">
        <v>0</v>
      </c>
      <c r="C22" s="136">
        <v>0</v>
      </c>
      <c r="D22" s="136">
        <v>-48</v>
      </c>
      <c r="E22" s="136">
        <v>-90</v>
      </c>
      <c r="F22" s="136">
        <v>-431</v>
      </c>
      <c r="G22" s="136">
        <v>-366</v>
      </c>
      <c r="H22" s="136">
        <v>-1891</v>
      </c>
      <c r="I22" s="136">
        <v>-243</v>
      </c>
      <c r="J22" s="136">
        <v>-119</v>
      </c>
    </row>
    <row r="23" spans="1:10">
      <c r="A23" s="137" t="s">
        <v>234</v>
      </c>
      <c r="B23" s="138">
        <v>-11</v>
      </c>
      <c r="C23" s="138">
        <v>-1</v>
      </c>
      <c r="D23" s="138">
        <v>-58</v>
      </c>
      <c r="E23" s="138">
        <v>138</v>
      </c>
      <c r="F23" s="138">
        <v>-473</v>
      </c>
      <c r="G23" s="138">
        <v>1079</v>
      </c>
      <c r="H23" s="138">
        <v>-1947</v>
      </c>
      <c r="I23" s="138">
        <v>-266</v>
      </c>
      <c r="J23" s="138">
        <v>-142</v>
      </c>
    </row>
    <row r="24" spans="1:10">
      <c r="A24" s="135" t="s">
        <v>235</v>
      </c>
      <c r="B24" s="135"/>
      <c r="C24" s="135"/>
      <c r="D24" s="135"/>
      <c r="E24" s="135"/>
      <c r="F24" s="135"/>
      <c r="G24" s="135"/>
      <c r="H24" s="135"/>
      <c r="I24" s="135"/>
      <c r="J24" s="135"/>
    </row>
    <row r="25" spans="1:10">
      <c r="A25" s="134" t="s">
        <v>236</v>
      </c>
      <c r="B25" s="136">
        <v>0</v>
      </c>
      <c r="C25" s="136">
        <v>0</v>
      </c>
      <c r="D25" s="136">
        <v>0</v>
      </c>
      <c r="E25" s="136">
        <v>0</v>
      </c>
      <c r="F25" s="136">
        <v>0</v>
      </c>
      <c r="G25" s="136">
        <v>0</v>
      </c>
      <c r="H25" s="136">
        <v>0</v>
      </c>
      <c r="I25" s="136">
        <v>0</v>
      </c>
      <c r="J25" s="136">
        <v>0</v>
      </c>
    </row>
    <row r="26" spans="1:10">
      <c r="A26" s="134" t="s">
        <v>33</v>
      </c>
      <c r="B26" s="136">
        <v>0</v>
      </c>
      <c r="C26" s="136">
        <v>0</v>
      </c>
      <c r="D26" s="136">
        <v>0</v>
      </c>
      <c r="E26" s="136">
        <v>0</v>
      </c>
      <c r="F26" s="136">
        <v>0</v>
      </c>
      <c r="G26" s="136">
        <v>0</v>
      </c>
      <c r="H26" s="136">
        <v>0</v>
      </c>
      <c r="I26" s="136">
        <v>0</v>
      </c>
      <c r="J26" s="136">
        <v>0</v>
      </c>
    </row>
    <row r="27" spans="1:10">
      <c r="A27" s="137" t="s">
        <v>237</v>
      </c>
      <c r="B27" s="138">
        <v>0</v>
      </c>
      <c r="C27" s="138">
        <v>0</v>
      </c>
      <c r="D27" s="138">
        <v>0</v>
      </c>
      <c r="E27" s="138">
        <v>0</v>
      </c>
      <c r="F27" s="138">
        <v>0</v>
      </c>
      <c r="G27" s="138">
        <v>0</v>
      </c>
      <c r="H27" s="138">
        <v>0</v>
      </c>
      <c r="I27" s="138">
        <v>0</v>
      </c>
      <c r="J27" s="138">
        <v>0</v>
      </c>
    </row>
    <row r="28" spans="1:10">
      <c r="A28" s="135" t="s">
        <v>238</v>
      </c>
      <c r="B28" s="135"/>
      <c r="C28" s="135"/>
      <c r="D28" s="135"/>
      <c r="E28" s="135"/>
      <c r="F28" s="135"/>
      <c r="G28" s="135"/>
      <c r="H28" s="135"/>
      <c r="I28" s="135"/>
      <c r="J28" s="135"/>
    </row>
    <row r="29" spans="1:10">
      <c r="A29" s="134" t="s">
        <v>239</v>
      </c>
      <c r="B29" s="136">
        <v>0</v>
      </c>
      <c r="C29" s="136">
        <v>0</v>
      </c>
      <c r="D29" s="136">
        <v>209</v>
      </c>
      <c r="E29" s="136">
        <v>506</v>
      </c>
      <c r="F29" s="136">
        <v>1026</v>
      </c>
      <c r="G29" s="136">
        <v>6777</v>
      </c>
      <c r="H29" s="136">
        <v>1504</v>
      </c>
      <c r="I29" s="136">
        <v>18</v>
      </c>
      <c r="J29" s="136">
        <v>0</v>
      </c>
    </row>
    <row r="30" spans="1:10">
      <c r="A30" s="134" t="s">
        <v>240</v>
      </c>
      <c r="B30" s="136">
        <v>0</v>
      </c>
      <c r="C30" s="136">
        <v>0</v>
      </c>
      <c r="D30" s="136">
        <v>0</v>
      </c>
      <c r="E30" s="136">
        <v>0</v>
      </c>
      <c r="F30" s="136">
        <v>0</v>
      </c>
      <c r="G30" s="136">
        <v>0</v>
      </c>
      <c r="H30" s="136">
        <v>0</v>
      </c>
      <c r="I30" s="136">
        <v>0</v>
      </c>
      <c r="J30" s="136">
        <v>0</v>
      </c>
    </row>
    <row r="31" spans="1:10">
      <c r="A31" s="137" t="s">
        <v>241</v>
      </c>
      <c r="B31" s="138">
        <v>0</v>
      </c>
      <c r="C31" s="138">
        <v>0</v>
      </c>
      <c r="D31" s="138">
        <v>209</v>
      </c>
      <c r="E31" s="138">
        <v>506</v>
      </c>
      <c r="F31" s="138">
        <v>1026</v>
      </c>
      <c r="G31" s="138">
        <v>6777</v>
      </c>
      <c r="H31" s="138">
        <v>1504</v>
      </c>
      <c r="I31" s="138">
        <v>18</v>
      </c>
      <c r="J31" s="138">
        <v>0</v>
      </c>
    </row>
    <row r="32" spans="1:10">
      <c r="A32" s="135" t="s">
        <v>242</v>
      </c>
      <c r="B32" s="135"/>
      <c r="C32" s="135"/>
      <c r="D32" s="135"/>
      <c r="E32" s="135"/>
      <c r="F32" s="135"/>
      <c r="G32" s="135"/>
      <c r="H32" s="135"/>
      <c r="I32" s="135"/>
      <c r="J32" s="135"/>
    </row>
    <row r="33" spans="1:16">
      <c r="A33" s="134" t="s">
        <v>243</v>
      </c>
      <c r="B33" s="136">
        <v>0</v>
      </c>
      <c r="C33" s="136">
        <v>0</v>
      </c>
      <c r="D33" s="136">
        <v>0</v>
      </c>
      <c r="E33" s="136">
        <v>-3</v>
      </c>
      <c r="F33" s="136">
        <v>3</v>
      </c>
      <c r="G33" s="136">
        <v>1</v>
      </c>
      <c r="H33" s="136">
        <v>8</v>
      </c>
      <c r="I33" s="136">
        <v>-123</v>
      </c>
      <c r="J33" s="136">
        <v>-155</v>
      </c>
    </row>
    <row r="34" spans="1:16">
      <c r="A34" s="139" t="s">
        <v>244</v>
      </c>
      <c r="B34" s="136">
        <v>0</v>
      </c>
      <c r="C34" s="136">
        <v>0</v>
      </c>
      <c r="D34" s="136">
        <v>336</v>
      </c>
      <c r="E34" s="136">
        <v>1152</v>
      </c>
      <c r="F34" s="136">
        <v>-273</v>
      </c>
      <c r="G34" s="136">
        <v>872</v>
      </c>
      <c r="H34" s="136">
        <v>939</v>
      </c>
      <c r="I34" s="136">
        <v>992</v>
      </c>
      <c r="J34" s="136">
        <v>592</v>
      </c>
    </row>
    <row r="35" spans="1:16">
      <c r="A35" s="137" t="s">
        <v>245</v>
      </c>
      <c r="B35" s="138">
        <v>305</v>
      </c>
      <c r="C35" s="138">
        <v>297</v>
      </c>
      <c r="D35" s="138">
        <v>0</v>
      </c>
      <c r="E35" s="138">
        <v>1785</v>
      </c>
      <c r="F35" s="138">
        <v>3908</v>
      </c>
      <c r="G35" s="138">
        <v>9626</v>
      </c>
      <c r="H35" s="138">
        <v>11449</v>
      </c>
      <c r="I35" s="138">
        <v>11199</v>
      </c>
      <c r="J35" s="138">
        <v>18434</v>
      </c>
    </row>
    <row r="38" spans="1:16">
      <c r="A38" t="s">
        <v>246</v>
      </c>
      <c r="G38" s="141">
        <f>(G8/F8)- 1</f>
        <v>-0.60021208907741253</v>
      </c>
      <c r="H38" s="141">
        <f t="shared" ref="H38:J38" si="2">(H8/G8)- 1</f>
        <v>6.5862068965517242</v>
      </c>
      <c r="I38" s="141">
        <f t="shared" si="2"/>
        <v>0.26783216783216779</v>
      </c>
      <c r="J38" s="141">
        <f t="shared" si="2"/>
        <v>0.67567567567567566</v>
      </c>
      <c r="K38" s="35">
        <v>0.1</v>
      </c>
      <c r="L38" s="35">
        <v>0.3</v>
      </c>
      <c r="M38" s="35">
        <v>0.3</v>
      </c>
      <c r="O38" s="141">
        <f>AVERAGE(G38:J38)</f>
        <v>1.7323756627455387</v>
      </c>
      <c r="P38" s="142">
        <f>MEDIAN(G38:J38)</f>
        <v>0.47175392175392172</v>
      </c>
    </row>
    <row r="39" spans="1:16">
      <c r="A39" t="s">
        <v>247</v>
      </c>
      <c r="G39" s="141">
        <f>(G9/F9)-1</f>
        <v>4.0671400903808941E-2</v>
      </c>
      <c r="H39" s="141">
        <f t="shared" ref="H39:J39" si="3">(H9/G9)-1</f>
        <v>1.6191066997518608</v>
      </c>
      <c r="I39" s="141">
        <f t="shared" si="3"/>
        <v>0.29251539554713402</v>
      </c>
      <c r="J39" s="141">
        <f t="shared" si="3"/>
        <v>0.57577423492761581</v>
      </c>
      <c r="K39" s="35">
        <v>0.55000000000000004</v>
      </c>
      <c r="L39" s="35">
        <v>0.31</v>
      </c>
      <c r="M39" s="35">
        <v>0.15</v>
      </c>
      <c r="O39" s="141">
        <f>AVERAGE(G39:J39)</f>
        <v>0.63201693278260485</v>
      </c>
      <c r="P39" s="142">
        <f>MEDIAN(G39:J39)</f>
        <v>0.43414481523737491</v>
      </c>
    </row>
  </sheetData>
  <mergeCells count="6">
    <mergeCell ref="A5:J5"/>
    <mergeCell ref="A7:J7"/>
    <mergeCell ref="A19:J19"/>
    <mergeCell ref="A24:J24"/>
    <mergeCell ref="A28:J28"/>
    <mergeCell ref="A32:J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9"/>
  <sheetViews>
    <sheetView workbookViewId="0">
      <pane ySplit="6" topLeftCell="A7" activePane="bottomLeft" state="frozen"/>
      <selection pane="bottomLeft"/>
    </sheetView>
  </sheetViews>
  <sheetFormatPr defaultRowHeight="12.75"/>
  <cols>
    <col min="1" max="1" width="46" bestFit="1" customWidth="1"/>
  </cols>
  <sheetData>
    <row r="1" spans="1:7" ht="18.75">
      <c r="A1" s="163" t="s">
        <v>204</v>
      </c>
      <c r="B1" s="132"/>
      <c r="C1" s="132"/>
      <c r="D1" s="132"/>
      <c r="E1" s="132"/>
      <c r="F1" s="132"/>
      <c r="G1" s="132"/>
    </row>
    <row r="2" spans="1:7" ht="15">
      <c r="A2" s="148" t="s">
        <v>248</v>
      </c>
      <c r="B2" s="132"/>
      <c r="C2" s="132"/>
      <c r="D2" s="132"/>
      <c r="E2" s="132"/>
      <c r="F2" s="132"/>
      <c r="G2" s="132"/>
    </row>
    <row r="3" spans="1:7" ht="18">
      <c r="A3" s="164" t="s">
        <v>249</v>
      </c>
      <c r="B3" s="132"/>
      <c r="C3" s="132"/>
      <c r="D3" s="132"/>
      <c r="E3" s="132"/>
      <c r="F3" s="132"/>
      <c r="G3" s="132"/>
    </row>
    <row r="4" spans="1:7" ht="15">
      <c r="A4" s="148" t="s">
        <v>250</v>
      </c>
      <c r="B4" s="132"/>
      <c r="C4" s="132"/>
      <c r="D4" s="132"/>
      <c r="E4" s="132"/>
      <c r="F4" s="132"/>
      <c r="G4" s="132"/>
    </row>
    <row r="5" spans="1:7" ht="15">
      <c r="A5" s="148" t="s">
        <v>251</v>
      </c>
      <c r="B5" s="132"/>
      <c r="C5" s="132"/>
      <c r="D5" s="132"/>
      <c r="E5" s="132"/>
      <c r="F5" s="132"/>
      <c r="G5" s="132"/>
    </row>
    <row r="6" spans="1:7" ht="15">
      <c r="A6" s="149"/>
      <c r="B6" s="150" t="s">
        <v>252</v>
      </c>
      <c r="C6" s="149" t="s">
        <v>211</v>
      </c>
      <c r="D6" s="149" t="s">
        <v>212</v>
      </c>
      <c r="E6" s="149" t="s">
        <v>213</v>
      </c>
      <c r="F6" s="149" t="s">
        <v>214</v>
      </c>
      <c r="G6" s="149" t="s">
        <v>215</v>
      </c>
    </row>
    <row r="7" spans="1:7" ht="15">
      <c r="A7" s="151"/>
      <c r="B7" s="152"/>
      <c r="C7" s="151" t="s">
        <v>253</v>
      </c>
      <c r="D7" s="151" t="s">
        <v>254</v>
      </c>
      <c r="E7" s="151" t="s">
        <v>253</v>
      </c>
      <c r="F7" s="151" t="s">
        <v>253</v>
      </c>
      <c r="G7" s="151" t="s">
        <v>253</v>
      </c>
    </row>
    <row r="8" spans="1:7" ht="15">
      <c r="A8" s="153" t="s">
        <v>255</v>
      </c>
      <c r="B8" s="153"/>
      <c r="C8" s="153"/>
      <c r="D8" s="153"/>
      <c r="E8" s="153"/>
      <c r="F8" s="153"/>
      <c r="G8" s="153"/>
    </row>
    <row r="9" spans="1:7" ht="15">
      <c r="A9" s="154" t="s">
        <v>256</v>
      </c>
      <c r="B9" s="155">
        <v>78.830993000000007</v>
      </c>
      <c r="C9" s="156">
        <v>76.825653462678503</v>
      </c>
      <c r="D9" s="156">
        <v>73.197091766555303</v>
      </c>
      <c r="E9" s="156">
        <v>77.667682926829301</v>
      </c>
      <c r="F9" s="156">
        <v>82.45628108455</v>
      </c>
      <c r="G9" s="156">
        <v>84.008255243194995</v>
      </c>
    </row>
    <row r="10" spans="1:7" ht="15">
      <c r="A10" s="154" t="s">
        <v>257</v>
      </c>
      <c r="B10" s="155">
        <v>44.9295434</v>
      </c>
      <c r="C10" s="156">
        <v>29.5068714632175</v>
      </c>
      <c r="D10" s="156">
        <v>62.625270190607203</v>
      </c>
      <c r="E10" s="156">
        <v>40.561483739837399</v>
      </c>
      <c r="F10" s="156">
        <v>42.668057115353797</v>
      </c>
      <c r="G10" s="156">
        <v>49.286033020972802</v>
      </c>
    </row>
    <row r="11" spans="1:7" ht="15">
      <c r="A11" s="154" t="s">
        <v>258</v>
      </c>
      <c r="B11" s="155">
        <v>33.901448799999997</v>
      </c>
      <c r="C11" s="156">
        <v>47.318781999461102</v>
      </c>
      <c r="D11" s="156">
        <v>10.5718215759481</v>
      </c>
      <c r="E11" s="156">
        <v>37.106199186991901</v>
      </c>
      <c r="F11" s="156">
        <v>39.788223969196203</v>
      </c>
      <c r="G11" s="156">
        <v>34.7222222222222</v>
      </c>
    </row>
    <row r="12" spans="1:7" ht="15">
      <c r="A12" s="154" t="s">
        <v>259</v>
      </c>
      <c r="B12" s="155">
        <v>32.8606865</v>
      </c>
      <c r="C12" s="156">
        <v>45.675020210185899</v>
      </c>
      <c r="D12" s="156">
        <v>9.7072116329337792</v>
      </c>
      <c r="E12" s="156">
        <v>34.984756097560997</v>
      </c>
      <c r="F12" s="156">
        <v>39.387133001764802</v>
      </c>
      <c r="G12" s="156">
        <v>34.549308344489098</v>
      </c>
    </row>
    <row r="13" spans="1:7" ht="15">
      <c r="A13" s="154" t="s">
        <v>260</v>
      </c>
      <c r="B13" s="155">
        <v>16.29978225</v>
      </c>
      <c r="C13" s="156">
        <v>18.000538938291601</v>
      </c>
      <c r="D13" s="156">
        <v>0.62880723128315996</v>
      </c>
      <c r="E13" s="156">
        <v>18.940548780487799</v>
      </c>
      <c r="F13" s="156">
        <v>23.463821594737698</v>
      </c>
      <c r="G13" s="156">
        <v>20.465194109772401</v>
      </c>
    </row>
    <row r="14" spans="1:7" ht="15">
      <c r="A14" s="154" t="s">
        <v>261</v>
      </c>
      <c r="B14" s="155">
        <v>8.3863542039999999</v>
      </c>
      <c r="C14" s="156">
        <v>14.3332260487072</v>
      </c>
      <c r="D14" s="156">
        <v>0.29859102360735301</v>
      </c>
      <c r="E14" s="156">
        <v>9.0369113279592703</v>
      </c>
      <c r="F14" s="156">
        <v>10.072487473957899</v>
      </c>
      <c r="G14" s="156">
        <v>8.1905548548403306</v>
      </c>
    </row>
    <row r="15" spans="1:7" ht="15">
      <c r="A15" s="154" t="s">
        <v>262</v>
      </c>
      <c r="B15" s="155">
        <v>10.147923614</v>
      </c>
      <c r="C15" s="156">
        <v>18.920832743237501</v>
      </c>
      <c r="D15" s="156">
        <v>0.38429206196709498</v>
      </c>
      <c r="E15" s="156">
        <v>10.953168044077101</v>
      </c>
      <c r="F15" s="156">
        <v>11.344684482023</v>
      </c>
      <c r="G15" s="156">
        <v>9.1366386931294699</v>
      </c>
    </row>
    <row r="16" spans="1:7" ht="15">
      <c r="A16" s="154" t="s">
        <v>263</v>
      </c>
      <c r="B16" s="155">
        <v>10.949108276</v>
      </c>
      <c r="C16" s="156">
        <v>22.912021951637801</v>
      </c>
      <c r="D16" s="156">
        <v>0.39902737078371497</v>
      </c>
      <c r="E16" s="156">
        <v>10.953168044077101</v>
      </c>
      <c r="F16" s="156">
        <v>11.344684482023</v>
      </c>
      <c r="G16" s="156">
        <v>9.1366386931294699</v>
      </c>
    </row>
    <row r="17" spans="1:7" ht="15">
      <c r="A17" s="154" t="s">
        <v>264</v>
      </c>
      <c r="B17" s="155">
        <v>9.3565263200000004</v>
      </c>
      <c r="C17" s="156">
        <v>16.270856168554399</v>
      </c>
      <c r="D17" s="156">
        <v>0.32508762127292101</v>
      </c>
      <c r="E17" s="156">
        <v>9.9211498153508302</v>
      </c>
      <c r="F17" s="156">
        <v>11.190817790530801</v>
      </c>
      <c r="G17" s="156">
        <v>9.0747198931513005</v>
      </c>
    </row>
    <row r="18" spans="1:7" ht="15">
      <c r="A18" s="154" t="s">
        <v>265</v>
      </c>
      <c r="B18" s="155">
        <v>9.5819775000000007</v>
      </c>
      <c r="C18" s="156">
        <v>17.071300792231</v>
      </c>
      <c r="D18" s="156">
        <v>0.336081499763693</v>
      </c>
      <c r="E18" s="156">
        <v>10.124605303364699</v>
      </c>
      <c r="F18" s="156">
        <v>11.2669003505258</v>
      </c>
      <c r="G18" s="156">
        <v>9.1110007449714399</v>
      </c>
    </row>
    <row r="19" spans="1:7" ht="15">
      <c r="A19" s="154" t="s">
        <v>266</v>
      </c>
      <c r="B19" s="155">
        <v>25.511772000000001</v>
      </c>
      <c r="C19" s="156">
        <v>39.585995399948899</v>
      </c>
      <c r="D19" s="156">
        <v>16.930105550596</v>
      </c>
      <c r="E19" s="156">
        <v>28.6694054934981</v>
      </c>
      <c r="F19" s="156">
        <v>21.0199915257502</v>
      </c>
      <c r="G19" s="156">
        <v>21.353364787683098</v>
      </c>
    </row>
    <row r="20" spans="1:7" ht="15">
      <c r="A20" s="154"/>
      <c r="B20" s="155"/>
      <c r="C20" s="156"/>
      <c r="D20" s="156"/>
      <c r="E20" s="156"/>
      <c r="F20" s="156"/>
      <c r="G20" s="156"/>
    </row>
    <row r="21" spans="1:7" ht="15">
      <c r="A21" s="153" t="s">
        <v>267</v>
      </c>
      <c r="B21" s="153"/>
      <c r="C21" s="153"/>
      <c r="D21" s="153"/>
      <c r="E21" s="153"/>
      <c r="F21" s="153"/>
      <c r="G21" s="153"/>
    </row>
    <row r="22" spans="1:7" ht="15">
      <c r="A22" s="154" t="s">
        <v>268</v>
      </c>
      <c r="B22" s="157"/>
      <c r="C22" s="132" t="s">
        <v>97</v>
      </c>
      <c r="D22" s="156">
        <v>11.3299803890745</v>
      </c>
      <c r="E22" s="156">
        <v>17.4735179115854</v>
      </c>
      <c r="F22" s="156">
        <v>16.672972886250601</v>
      </c>
      <c r="G22" s="156">
        <v>16.655230923694798</v>
      </c>
    </row>
    <row r="23" spans="1:7" ht="15">
      <c r="A23" s="154" t="s">
        <v>269</v>
      </c>
      <c r="B23" s="158"/>
      <c r="C23" s="132" t="s">
        <v>97</v>
      </c>
      <c r="D23" s="156">
        <v>2661.97</v>
      </c>
      <c r="E23" s="156">
        <v>91.081666666666706</v>
      </c>
      <c r="F23" s="156">
        <v>70.927272727272694</v>
      </c>
      <c r="G23" s="156">
        <v>81.131782945736404</v>
      </c>
    </row>
    <row r="24" spans="1:7" ht="15">
      <c r="A24" s="154" t="s">
        <v>270</v>
      </c>
      <c r="B24" s="157"/>
      <c r="C24" s="132" t="s">
        <v>97</v>
      </c>
      <c r="D24" s="156">
        <v>5.3730930552696101</v>
      </c>
      <c r="E24" s="156">
        <v>8.9960163297557099</v>
      </c>
      <c r="F24" s="156">
        <v>6.0453954805980903</v>
      </c>
      <c r="G24" s="156">
        <v>6.7338550902179604</v>
      </c>
    </row>
    <row r="25" spans="1:7" ht="15">
      <c r="A25" s="154" t="s">
        <v>271</v>
      </c>
      <c r="B25" s="157"/>
      <c r="C25" s="132" t="s">
        <v>97</v>
      </c>
      <c r="D25" s="156">
        <v>6.0924761724068199</v>
      </c>
      <c r="E25" s="156">
        <v>10.1228014288411</v>
      </c>
      <c r="F25" s="156">
        <v>15.3823871653856</v>
      </c>
      <c r="G25" s="156">
        <v>12.976453412359501</v>
      </c>
    </row>
    <row r="26" spans="1:7" ht="15">
      <c r="A26" s="154" t="s">
        <v>272</v>
      </c>
      <c r="B26" s="157"/>
      <c r="C26" s="132" t="s">
        <v>97</v>
      </c>
      <c r="D26" s="156">
        <v>35.768157692307703</v>
      </c>
      <c r="E26" s="156">
        <v>32.579709379440999</v>
      </c>
      <c r="F26" s="156">
        <v>38.087828477185298</v>
      </c>
      <c r="G26" s="156">
        <v>34.724384230724503</v>
      </c>
    </row>
    <row r="27" spans="1:7" ht="15">
      <c r="A27" s="154" t="s">
        <v>273</v>
      </c>
      <c r="B27" s="157"/>
      <c r="C27" s="132" t="s">
        <v>97</v>
      </c>
      <c r="D27" s="156">
        <v>152.93970875331601</v>
      </c>
      <c r="E27" s="156">
        <v>48.094941608391601</v>
      </c>
      <c r="F27" s="156">
        <v>57.320816326530597</v>
      </c>
      <c r="G27" s="156">
        <v>49.1433475971034</v>
      </c>
    </row>
    <row r="28" spans="1:7" ht="15">
      <c r="A28" s="154" t="s">
        <v>274</v>
      </c>
      <c r="B28" s="157"/>
      <c r="C28" s="132" t="s">
        <v>97</v>
      </c>
      <c r="D28" s="156">
        <v>103.886050185874</v>
      </c>
      <c r="E28" s="156">
        <v>43.887458404655902</v>
      </c>
      <c r="F28" s="156">
        <v>41.7839818548387</v>
      </c>
      <c r="G28" s="156">
        <v>44.921882730923699</v>
      </c>
    </row>
    <row r="29" spans="1:7" ht="15">
      <c r="A29" s="154" t="s">
        <v>275</v>
      </c>
      <c r="B29" s="157"/>
      <c r="C29" s="132" t="s">
        <v>97</v>
      </c>
      <c r="D29" s="156">
        <v>47.085673967986502</v>
      </c>
      <c r="E29" s="156">
        <v>32.6030686673449</v>
      </c>
      <c r="F29" s="156">
        <v>33.411018861841001</v>
      </c>
      <c r="G29" s="156">
        <v>34.227505507955897</v>
      </c>
    </row>
    <row r="30" spans="1:7" ht="15">
      <c r="A30" s="154" t="s">
        <v>276</v>
      </c>
      <c r="B30" s="157"/>
      <c r="C30" s="132" t="s">
        <v>97</v>
      </c>
      <c r="D30" s="156">
        <v>10.982647867950501</v>
      </c>
      <c r="E30" s="156">
        <v>16.284967733739801</v>
      </c>
      <c r="F30" s="156">
        <v>16.625104283651499</v>
      </c>
      <c r="G30" s="156">
        <v>15.5978759482374</v>
      </c>
    </row>
    <row r="31" spans="1:7" ht="15">
      <c r="A31" s="154" t="s">
        <v>277</v>
      </c>
      <c r="B31" s="157"/>
      <c r="C31" s="132" t="s">
        <v>97</v>
      </c>
      <c r="D31" s="156">
        <v>4.2153707338940798E-2</v>
      </c>
      <c r="E31" s="156">
        <v>3.7130856298546902E-3</v>
      </c>
      <c r="F31" s="156">
        <v>1.1242539453231401E-3</v>
      </c>
      <c r="G31" s="156">
        <v>1.1264534467902E-3</v>
      </c>
    </row>
    <row r="32" spans="1:7" ht="15">
      <c r="A32" s="154"/>
      <c r="B32" s="157"/>
      <c r="C32" s="132"/>
      <c r="D32" s="156"/>
      <c r="E32" s="156"/>
      <c r="F32" s="156"/>
      <c r="G32" s="156"/>
    </row>
    <row r="33" spans="1:7" ht="15">
      <c r="A33" s="153" t="s">
        <v>278</v>
      </c>
      <c r="B33" s="153"/>
      <c r="C33" s="153"/>
      <c r="D33" s="153"/>
      <c r="E33" s="153"/>
      <c r="F33" s="153"/>
      <c r="G33" s="153"/>
    </row>
    <row r="34" spans="1:7" ht="15">
      <c r="A34" s="154" t="s">
        <v>279</v>
      </c>
      <c r="B34" s="155">
        <v>3.7802482400000001</v>
      </c>
      <c r="C34" s="156">
        <v>2.4608753315649898</v>
      </c>
      <c r="D34" s="156">
        <v>2.3494921514312099</v>
      </c>
      <c r="E34" s="156">
        <v>3.1275327771156101</v>
      </c>
      <c r="F34" s="156">
        <v>4.6794294294294296</v>
      </c>
      <c r="G34" s="156">
        <v>6.2839116719242902</v>
      </c>
    </row>
    <row r="35" spans="1:7" ht="15">
      <c r="A35" s="154" t="s">
        <v>280</v>
      </c>
      <c r="B35" s="155">
        <v>1.3234249039999999</v>
      </c>
      <c r="C35" s="156">
        <v>1.1644562334217501</v>
      </c>
      <c r="D35" s="156">
        <v>0.248384118190212</v>
      </c>
      <c r="E35" s="156">
        <v>1.1605085419149801</v>
      </c>
      <c r="F35" s="156">
        <v>1.8618618618618601</v>
      </c>
      <c r="G35" s="156">
        <v>2.1819137749737099</v>
      </c>
    </row>
    <row r="36" spans="1:7" ht="15">
      <c r="A36" s="154" t="s">
        <v>31</v>
      </c>
      <c r="B36" s="155">
        <v>0.72997978740000002</v>
      </c>
      <c r="C36" s="156">
        <v>0.46352785145888598</v>
      </c>
      <c r="D36" s="156">
        <v>1.47737765466297E-2</v>
      </c>
      <c r="E36" s="156">
        <v>0.796543504171633</v>
      </c>
      <c r="F36" s="156">
        <v>1.0890390390390401</v>
      </c>
      <c r="G36" s="156">
        <v>1.2860147213459501</v>
      </c>
    </row>
    <row r="37" spans="1:7" ht="15">
      <c r="A37" s="154" t="s">
        <v>30</v>
      </c>
      <c r="B37" s="155">
        <v>0.68859999999999999</v>
      </c>
      <c r="C37" s="156">
        <v>0.443</v>
      </c>
      <c r="D37" s="156">
        <v>0.01</v>
      </c>
      <c r="E37" s="156">
        <v>0.6</v>
      </c>
      <c r="F37" s="156">
        <v>1.1000000000000001</v>
      </c>
      <c r="G37" s="156">
        <v>1.29</v>
      </c>
    </row>
    <row r="38" spans="1:7" ht="15">
      <c r="A38" s="154" t="s">
        <v>281</v>
      </c>
      <c r="B38" s="155">
        <v>8.3466059999999995</v>
      </c>
      <c r="C38" s="156">
        <v>2.2559200000000001</v>
      </c>
      <c r="D38" s="156">
        <v>4.9542599999999997</v>
      </c>
      <c r="E38" s="156">
        <v>6.0747999999999998</v>
      </c>
      <c r="F38" s="156">
        <v>12.90569</v>
      </c>
      <c r="G38" s="156">
        <v>15.54236</v>
      </c>
    </row>
    <row r="39" spans="1:7" ht="15">
      <c r="A39" s="154" t="s">
        <v>282</v>
      </c>
      <c r="B39" s="155">
        <v>5.0151814999999997</v>
      </c>
      <c r="C39" s="156">
        <v>2.1706161137440798</v>
      </c>
      <c r="D39" s="156">
        <v>4.3692743716524003</v>
      </c>
      <c r="E39" s="156">
        <v>5.3986043669984598</v>
      </c>
      <c r="F39" s="156">
        <v>5.0720346043275697</v>
      </c>
      <c r="G39" s="156">
        <v>8.0653778558875207</v>
      </c>
    </row>
    <row r="40" spans="1:7" ht="15">
      <c r="A40" s="154" t="s">
        <v>283</v>
      </c>
      <c r="B40" s="155">
        <v>1.7022509800000001</v>
      </c>
      <c r="C40" s="156">
        <v>1.0271883289124699</v>
      </c>
      <c r="D40" s="156">
        <v>0.74422899353647298</v>
      </c>
      <c r="E40" s="156">
        <v>1.6773937226857401</v>
      </c>
      <c r="F40" s="156">
        <v>2.04842342342342</v>
      </c>
      <c r="G40" s="156">
        <v>3.0140203294777401</v>
      </c>
    </row>
    <row r="41" spans="1:7" ht="15">
      <c r="A41" s="154" t="s">
        <v>284</v>
      </c>
      <c r="B41" s="155">
        <v>1.08529155</v>
      </c>
      <c r="C41" s="156">
        <v>0.62533156498673703</v>
      </c>
      <c r="D41" s="156">
        <v>0.17405355493998201</v>
      </c>
      <c r="E41" s="156">
        <v>1.1362733412793</v>
      </c>
      <c r="F41" s="156">
        <v>1.3611111111111101</v>
      </c>
      <c r="G41" s="156">
        <v>2.12968804766912</v>
      </c>
    </row>
    <row r="42" spans="1:7" ht="15">
      <c r="A42" s="159" t="s">
        <v>29</v>
      </c>
      <c r="B42" s="160">
        <v>2341.6</v>
      </c>
      <c r="C42" s="161">
        <v>1508</v>
      </c>
      <c r="D42" s="161">
        <v>2166</v>
      </c>
      <c r="E42" s="161">
        <v>2517</v>
      </c>
      <c r="F42" s="161">
        <v>2664</v>
      </c>
      <c r="G42" s="161">
        <v>2853</v>
      </c>
    </row>
    <row r="43" spans="1:7" ht="15">
      <c r="A43" s="154" t="s">
        <v>28</v>
      </c>
      <c r="B43" s="152">
        <v>2492.0388600000001</v>
      </c>
      <c r="C43" s="156">
        <v>1899</v>
      </c>
      <c r="D43" s="156">
        <v>2372.705195</v>
      </c>
      <c r="E43" s="156">
        <v>2546.5840920000001</v>
      </c>
      <c r="F43" s="156">
        <v>2796.9052080000001</v>
      </c>
      <c r="G43" s="156">
        <v>2845</v>
      </c>
    </row>
    <row r="44" spans="1:7" ht="15">
      <c r="A44" s="154"/>
      <c r="B44" s="152"/>
      <c r="C44" s="156"/>
      <c r="D44" s="156"/>
      <c r="E44" s="156"/>
      <c r="F44" s="156"/>
      <c r="G44" s="156"/>
    </row>
    <row r="45" spans="1:7" ht="15">
      <c r="A45" s="153" t="s">
        <v>285</v>
      </c>
      <c r="B45" s="153"/>
      <c r="C45" s="153"/>
      <c r="D45" s="153"/>
      <c r="E45" s="153"/>
      <c r="F45" s="153"/>
      <c r="G45" s="153"/>
    </row>
    <row r="46" spans="1:7" ht="15">
      <c r="A46" s="154" t="s">
        <v>286</v>
      </c>
      <c r="B46" s="155">
        <v>1.0227269000000001</v>
      </c>
      <c r="C46" s="156">
        <v>1.30370630598981</v>
      </c>
      <c r="D46" s="156">
        <v>0.75203191960987104</v>
      </c>
      <c r="E46" s="156">
        <v>0.74704626334519597</v>
      </c>
      <c r="F46" s="156">
        <v>1.10084775697633</v>
      </c>
      <c r="G46" s="156">
        <v>1.2100023622313001</v>
      </c>
    </row>
    <row r="47" spans="1:7" ht="15">
      <c r="A47" s="154" t="s">
        <v>287</v>
      </c>
      <c r="B47" s="155">
        <v>7.5999809000000003</v>
      </c>
      <c r="C47" s="156">
        <v>8.0673913043478294</v>
      </c>
      <c r="D47" s="156">
        <v>5.9277810133954603</v>
      </c>
      <c r="E47" s="156">
        <v>6.7570815450643797</v>
      </c>
      <c r="F47" s="156">
        <v>8.7850599013389701</v>
      </c>
      <c r="G47" s="156">
        <v>8.4625914562190196</v>
      </c>
    </row>
    <row r="48" spans="1:7" ht="15">
      <c r="A48" s="154" t="s">
        <v>288</v>
      </c>
      <c r="B48" s="155">
        <v>0.86384382599999998</v>
      </c>
      <c r="C48" s="156">
        <v>1.0835036496350401</v>
      </c>
      <c r="D48" s="156">
        <v>0.64129544452145404</v>
      </c>
      <c r="E48" s="156">
        <v>0.64691621810412103</v>
      </c>
      <c r="F48" s="156">
        <v>0.93238593866866104</v>
      </c>
      <c r="G48" s="156">
        <v>1.0151180567351801</v>
      </c>
    </row>
    <row r="49" spans="1:7" ht="15">
      <c r="A49" s="154" t="s">
        <v>289</v>
      </c>
      <c r="B49" s="155">
        <v>3.3190148800000001</v>
      </c>
      <c r="C49" s="156">
        <v>3.6222547584187401</v>
      </c>
      <c r="D49" s="156">
        <v>2.6326952922917699</v>
      </c>
      <c r="E49" s="156">
        <v>2.9857765977621802</v>
      </c>
      <c r="F49" s="156">
        <v>3.6402394510147502</v>
      </c>
      <c r="G49" s="156">
        <v>3.71410814170292</v>
      </c>
    </row>
    <row r="50" spans="1:7" ht="15">
      <c r="A50" s="154" t="s">
        <v>290</v>
      </c>
      <c r="B50" s="155">
        <v>0.51554710199999998</v>
      </c>
      <c r="C50" s="156">
        <v>0.79626649501126501</v>
      </c>
      <c r="D50" s="156">
        <v>0.47485303723056799</v>
      </c>
      <c r="E50" s="156">
        <v>0.47711982544396597</v>
      </c>
      <c r="F50" s="156">
        <v>0.42927736359097102</v>
      </c>
      <c r="G50" s="156">
        <v>0.400218771974864</v>
      </c>
    </row>
    <row r="51" spans="1:7" ht="15">
      <c r="A51" s="154"/>
      <c r="B51" s="155"/>
      <c r="C51" s="156"/>
      <c r="D51" s="156"/>
      <c r="E51" s="156"/>
      <c r="F51" s="156"/>
      <c r="G51" s="156"/>
    </row>
    <row r="52" spans="1:7" ht="15">
      <c r="A52" s="153" t="s">
        <v>291</v>
      </c>
      <c r="B52" s="153"/>
      <c r="C52" s="153"/>
      <c r="D52" s="153"/>
      <c r="E52" s="153"/>
      <c r="F52" s="153"/>
      <c r="G52" s="153"/>
    </row>
    <row r="53" spans="1:7" ht="15">
      <c r="A53" s="154" t="s">
        <v>292</v>
      </c>
      <c r="B53" s="155">
        <v>0.51554710199999998</v>
      </c>
      <c r="C53" s="156">
        <v>0.79626649501126501</v>
      </c>
      <c r="D53" s="156">
        <v>0.47485303723056799</v>
      </c>
      <c r="E53" s="156">
        <v>0.47711982544396597</v>
      </c>
      <c r="F53" s="156">
        <v>0.42927736359097102</v>
      </c>
      <c r="G53" s="156">
        <v>0.400218771974864</v>
      </c>
    </row>
    <row r="54" spans="1:7" ht="15">
      <c r="A54" s="154" t="s">
        <v>293</v>
      </c>
      <c r="B54" s="155">
        <v>32.8606865</v>
      </c>
      <c r="C54" s="156">
        <v>45.675020210185899</v>
      </c>
      <c r="D54" s="156">
        <v>9.7072116329337792</v>
      </c>
      <c r="E54" s="156">
        <v>34.984756097560997</v>
      </c>
      <c r="F54" s="156">
        <v>39.387133001764802</v>
      </c>
      <c r="G54" s="156">
        <v>34.549308344489098</v>
      </c>
    </row>
    <row r="55" spans="1:7" ht="15">
      <c r="A55" s="154" t="s">
        <v>294</v>
      </c>
      <c r="B55" s="155">
        <v>17.681239000000001</v>
      </c>
      <c r="C55" s="156">
        <v>36.369488252333397</v>
      </c>
      <c r="D55" s="156">
        <v>4.6094989269385103</v>
      </c>
      <c r="E55" s="156">
        <v>16.691920722468002</v>
      </c>
      <c r="F55" s="156">
        <v>16.908004614404501</v>
      </c>
      <c r="G55" s="156">
        <v>13.827281758212299</v>
      </c>
    </row>
    <row r="56" spans="1:7" ht="15">
      <c r="A56" s="154" t="s">
        <v>295</v>
      </c>
      <c r="B56" s="155">
        <v>48.722263699999999</v>
      </c>
      <c r="C56" s="156">
        <v>58.997050147492601</v>
      </c>
      <c r="D56" s="156">
        <v>10.7287449392713</v>
      </c>
      <c r="E56" s="156">
        <v>54.466230936819201</v>
      </c>
      <c r="F56" s="156">
        <v>59.877800407332003</v>
      </c>
      <c r="G56" s="156">
        <v>59.541491766225398</v>
      </c>
    </row>
    <row r="57" spans="1:7" ht="15">
      <c r="A57" s="154" t="s">
        <v>296</v>
      </c>
      <c r="B57" s="155">
        <v>8.3863542039999999</v>
      </c>
      <c r="C57" s="156">
        <v>14.3332260487072</v>
      </c>
      <c r="D57" s="156">
        <v>0.29859102360735301</v>
      </c>
      <c r="E57" s="156">
        <v>9.0369113279592703</v>
      </c>
      <c r="F57" s="156">
        <v>10.072487473957899</v>
      </c>
      <c r="G57" s="156">
        <v>8.1905548548403306</v>
      </c>
    </row>
    <row r="58" spans="1:7" ht="15">
      <c r="A58" s="154" t="s">
        <v>297</v>
      </c>
      <c r="B58" s="155">
        <v>1.21218944</v>
      </c>
      <c r="C58" s="156">
        <v>1.3200679790398</v>
      </c>
      <c r="D58" s="156">
        <v>1.28701813378167</v>
      </c>
      <c r="E58" s="156">
        <v>1.2120477502295699</v>
      </c>
      <c r="F58" s="156">
        <v>1.1263041538998599</v>
      </c>
      <c r="G58" s="156">
        <v>1.1155091266777899</v>
      </c>
    </row>
    <row r="59" spans="1:7" ht="15">
      <c r="A59" s="154" t="s">
        <v>298</v>
      </c>
      <c r="B59" s="155">
        <v>10.147923614</v>
      </c>
      <c r="C59" s="156">
        <v>18.920832743237501</v>
      </c>
      <c r="D59" s="156">
        <v>0.38429206196709498</v>
      </c>
      <c r="E59" s="156">
        <v>10.953168044077101</v>
      </c>
      <c r="F59" s="156">
        <v>11.344684482023</v>
      </c>
      <c r="G59" s="156">
        <v>9.1366386931294699</v>
      </c>
    </row>
    <row r="60" spans="1:7" ht="15">
      <c r="A60" s="154" t="s">
        <v>299</v>
      </c>
      <c r="B60" s="157"/>
      <c r="C60" s="132" t="s">
        <v>97</v>
      </c>
      <c r="D60" s="156">
        <v>100</v>
      </c>
      <c r="E60" s="156">
        <v>100</v>
      </c>
      <c r="F60" s="156">
        <v>100</v>
      </c>
      <c r="G60" s="156">
        <v>100</v>
      </c>
    </row>
    <row r="61" spans="1:7" ht="15">
      <c r="A61" s="154" t="s">
        <v>300</v>
      </c>
      <c r="B61" s="155">
        <v>10.147923614</v>
      </c>
      <c r="C61" s="156">
        <v>18.920832743237501</v>
      </c>
      <c r="D61" s="156">
        <v>0.38429206196709498</v>
      </c>
      <c r="E61" s="156">
        <v>10.953168044077101</v>
      </c>
      <c r="F61" s="156">
        <v>11.344684482023</v>
      </c>
      <c r="G61" s="156">
        <v>9.1366386931294699</v>
      </c>
    </row>
    <row r="62" spans="1:7" ht="15">
      <c r="A62" s="154" t="s">
        <v>301</v>
      </c>
      <c r="B62" s="155">
        <v>18.275838499999999</v>
      </c>
      <c r="C62" s="156">
        <v>37.678360690913003</v>
      </c>
      <c r="D62" s="156">
        <v>5.0200615843986203</v>
      </c>
      <c r="E62" s="156">
        <v>17.704103278986601</v>
      </c>
      <c r="F62" s="156">
        <v>17.080183887463601</v>
      </c>
      <c r="G62" s="156">
        <v>13.8964851380161</v>
      </c>
    </row>
    <row r="63" spans="1:7" ht="15">
      <c r="A63" s="154" t="s">
        <v>302</v>
      </c>
      <c r="B63" s="155">
        <v>0.28356178980000002</v>
      </c>
      <c r="C63" s="156">
        <v>0.66340230611277795</v>
      </c>
      <c r="D63" s="156">
        <v>0.33768125537972599</v>
      </c>
      <c r="E63" s="156">
        <v>0.31293657446214002</v>
      </c>
      <c r="F63" s="156">
        <v>5.7236711128807502E-2</v>
      </c>
      <c r="G63" s="156">
        <v>4.6552108000890602E-2</v>
      </c>
    </row>
    <row r="64" spans="1:7" ht="15">
      <c r="A64" s="154"/>
      <c r="B64" s="155"/>
      <c r="C64" s="156"/>
      <c r="D64" s="156"/>
      <c r="E64" s="156"/>
      <c r="F64" s="156"/>
      <c r="G64" s="156"/>
    </row>
    <row r="65" spans="1:7" ht="15">
      <c r="A65" s="153" t="s">
        <v>303</v>
      </c>
      <c r="B65" s="153"/>
      <c r="C65" s="153"/>
      <c r="D65" s="153"/>
      <c r="E65" s="153"/>
      <c r="F65" s="153"/>
      <c r="G65" s="153"/>
    </row>
    <row r="66" spans="1:7" ht="15">
      <c r="A66" s="154" t="s">
        <v>304</v>
      </c>
      <c r="B66" s="157"/>
      <c r="C66" s="132" t="s">
        <v>97</v>
      </c>
      <c r="D66" s="156">
        <v>1.1017536263260399</v>
      </c>
      <c r="E66" s="156">
        <v>1.2422281836831299</v>
      </c>
      <c r="F66" s="156">
        <v>1.35514729861942</v>
      </c>
      <c r="G66" s="156">
        <v>1.41265463714443</v>
      </c>
    </row>
    <row r="67" spans="1:7" ht="15">
      <c r="A67" s="154" t="s">
        <v>305</v>
      </c>
      <c r="B67" s="157"/>
      <c r="C67" s="132" t="s">
        <v>97</v>
      </c>
      <c r="D67" s="156">
        <v>6.9279064732626098E-3</v>
      </c>
      <c r="E67" s="156">
        <v>0.23528483509547099</v>
      </c>
      <c r="F67" s="156">
        <v>0.31796934449396702</v>
      </c>
      <c r="G67" s="156">
        <v>0.28910251359230899</v>
      </c>
    </row>
    <row r="68" spans="1:7" ht="15">
      <c r="A68" s="154" t="s">
        <v>306</v>
      </c>
      <c r="B68" s="157"/>
      <c r="C68" s="132" t="s">
        <v>97</v>
      </c>
      <c r="D68" s="156">
        <v>3.26975535830266</v>
      </c>
      <c r="E68" s="156">
        <v>2.8238914312766301</v>
      </c>
      <c r="F68" s="156">
        <v>4.3683009022719901</v>
      </c>
      <c r="G68" s="156">
        <v>3.8930738318493399</v>
      </c>
    </row>
    <row r="69" spans="1:7" ht="15">
      <c r="A69" s="154" t="s">
        <v>307</v>
      </c>
      <c r="B69" s="155">
        <v>7.5999809000000003</v>
      </c>
      <c r="C69" s="156">
        <v>8.0673913043478294</v>
      </c>
      <c r="D69" s="156">
        <v>5.9277810133954603</v>
      </c>
      <c r="E69" s="156">
        <v>6.7570815450643797</v>
      </c>
      <c r="F69" s="156">
        <v>8.7850599013389701</v>
      </c>
      <c r="G69" s="156">
        <v>8.4625914562190196</v>
      </c>
    </row>
    <row r="70" spans="1:7" ht="15">
      <c r="A70" s="154" t="s">
        <v>308</v>
      </c>
      <c r="B70" s="157"/>
      <c r="C70" s="132" t="s">
        <v>97</v>
      </c>
      <c r="D70" s="132" t="s">
        <v>97</v>
      </c>
      <c r="E70" s="156">
        <v>10.5586</v>
      </c>
      <c r="F70" s="156">
        <v>6.7709000000000001</v>
      </c>
      <c r="G70" s="156">
        <v>7.2491000000000003</v>
      </c>
    </row>
    <row r="71" spans="1:7" ht="15">
      <c r="A71" s="154" t="s">
        <v>309</v>
      </c>
      <c r="B71" s="155">
        <v>0.51554710199999998</v>
      </c>
      <c r="C71" s="156">
        <v>0.79626649501126501</v>
      </c>
      <c r="D71" s="156">
        <v>0.47485303723056799</v>
      </c>
      <c r="E71" s="156">
        <v>0.47711982544396597</v>
      </c>
      <c r="F71" s="156">
        <v>0.42927736359097102</v>
      </c>
      <c r="G71" s="156">
        <v>0.400218771974864</v>
      </c>
    </row>
    <row r="72" spans="1:7" ht="15">
      <c r="A72" s="154" t="s">
        <v>310</v>
      </c>
      <c r="B72" s="155">
        <v>0.81684456800000005</v>
      </c>
      <c r="C72" s="156">
        <v>1.0016194331983801</v>
      </c>
      <c r="D72" s="156">
        <v>0.49818893783651502</v>
      </c>
      <c r="E72" s="156">
        <v>0.65764411027568903</v>
      </c>
      <c r="F72" s="156">
        <v>1.0179650498121799</v>
      </c>
      <c r="G72" s="156">
        <v>0.90880519085517297</v>
      </c>
    </row>
    <row r="73" spans="1:7" ht="15">
      <c r="A73" s="154"/>
      <c r="B73" s="155"/>
      <c r="C73" s="156"/>
      <c r="D73" s="156"/>
      <c r="E73" s="156"/>
      <c r="F73" s="156"/>
      <c r="G73" s="156"/>
    </row>
    <row r="74" spans="1:7" ht="15">
      <c r="A74" s="153" t="s">
        <v>311</v>
      </c>
      <c r="B74" s="153"/>
      <c r="C74" s="153"/>
      <c r="D74" s="153"/>
      <c r="E74" s="153"/>
      <c r="F74" s="153"/>
      <c r="G74" s="153"/>
    </row>
    <row r="75" spans="1:7" ht="15">
      <c r="A75" s="154" t="s">
        <v>312</v>
      </c>
      <c r="B75" s="157"/>
      <c r="C75" s="132" t="s">
        <v>97</v>
      </c>
      <c r="D75" s="132" t="s">
        <v>97</v>
      </c>
      <c r="E75" s="132" t="s">
        <v>97</v>
      </c>
      <c r="F75" s="132" t="s">
        <v>97</v>
      </c>
      <c r="G75" s="132" t="s">
        <v>97</v>
      </c>
    </row>
    <row r="76" spans="1:7" ht="15">
      <c r="A76" s="154" t="s">
        <v>313</v>
      </c>
      <c r="B76" s="155">
        <v>49.102910799999997</v>
      </c>
      <c r="C76" s="156">
        <v>45.243869576933399</v>
      </c>
      <c r="D76" s="156">
        <v>61.574474356455099</v>
      </c>
      <c r="E76" s="156">
        <v>54.017403455284601</v>
      </c>
      <c r="F76" s="156">
        <v>41.547810043317803</v>
      </c>
      <c r="G76" s="156">
        <v>43.130996207050401</v>
      </c>
    </row>
    <row r="77" spans="1:7" ht="15">
      <c r="A77" s="154" t="s">
        <v>314</v>
      </c>
      <c r="B77" s="157"/>
      <c r="C77" s="132" t="s">
        <v>97</v>
      </c>
      <c r="D77" s="132" t="s">
        <v>97</v>
      </c>
      <c r="E77" s="132" t="s">
        <v>97</v>
      </c>
      <c r="F77" s="132" t="s">
        <v>97</v>
      </c>
      <c r="G77" s="132" t="s">
        <v>97</v>
      </c>
    </row>
    <row r="78" spans="1:7" ht="15">
      <c r="A78" s="154" t="s">
        <v>315</v>
      </c>
      <c r="B78" s="157"/>
      <c r="C78" s="132" t="s">
        <v>97</v>
      </c>
      <c r="D78" s="132" t="s">
        <v>97</v>
      </c>
      <c r="E78" s="156">
        <v>34.568976947701401</v>
      </c>
      <c r="F78" s="156">
        <v>53.907161529486501</v>
      </c>
      <c r="G78" s="156">
        <v>50.351078064863202</v>
      </c>
    </row>
    <row r="79" spans="1:7" ht="15">
      <c r="A79" s="154"/>
      <c r="B79" s="157"/>
      <c r="C79" s="132"/>
      <c r="D79" s="132"/>
      <c r="E79" s="156"/>
      <c r="F79" s="156"/>
      <c r="G79" s="156"/>
    </row>
    <row r="80" spans="1:7" ht="15">
      <c r="A80" s="153" t="s">
        <v>316</v>
      </c>
      <c r="B80" s="153"/>
      <c r="C80" s="153"/>
      <c r="D80" s="153"/>
      <c r="E80" s="153"/>
      <c r="F80" s="153"/>
      <c r="G80" s="153"/>
    </row>
    <row r="81" spans="1:7" ht="15">
      <c r="A81" s="154" t="s">
        <v>317</v>
      </c>
      <c r="B81" s="155">
        <v>9.7121302000000007</v>
      </c>
      <c r="C81" s="156">
        <v>5.1212458286985498</v>
      </c>
      <c r="D81" s="156">
        <v>10.7100760456274</v>
      </c>
      <c r="E81" s="156">
        <v>11.8818181818182</v>
      </c>
      <c r="F81" s="156">
        <v>9.5997191011236005</v>
      </c>
      <c r="G81" s="156">
        <v>11.2477922077922</v>
      </c>
    </row>
    <row r="82" spans="1:7" ht="15">
      <c r="A82" s="154" t="s">
        <v>318</v>
      </c>
      <c r="B82" s="157"/>
      <c r="C82" s="132" t="s">
        <v>97</v>
      </c>
      <c r="D82" s="156">
        <v>10.7100760456274</v>
      </c>
      <c r="E82" s="156">
        <v>11.8818181818182</v>
      </c>
      <c r="F82" s="156">
        <v>9.5997191011236005</v>
      </c>
      <c r="G82" s="156">
        <v>11.2477922077922</v>
      </c>
    </row>
    <row r="83" spans="1:7" ht="15">
      <c r="A83" s="154" t="s">
        <v>319</v>
      </c>
      <c r="B83" s="155">
        <v>8.2691987999999998</v>
      </c>
      <c r="C83" s="156">
        <v>4.34705228031146</v>
      </c>
      <c r="D83" s="156">
        <v>9.1501901140684403</v>
      </c>
      <c r="E83" s="156">
        <v>10.4081818181818</v>
      </c>
      <c r="F83" s="156">
        <v>7.8644662921348303</v>
      </c>
      <c r="G83" s="156">
        <v>9.5761038961039002</v>
      </c>
    </row>
    <row r="84" spans="1:7" ht="15">
      <c r="A84" s="154" t="s">
        <v>320</v>
      </c>
      <c r="B84" s="155">
        <v>84.995430799999994</v>
      </c>
      <c r="C84" s="156">
        <v>84.882710686359701</v>
      </c>
      <c r="D84" s="156">
        <v>85.435342149640505</v>
      </c>
      <c r="E84" s="156">
        <v>87.597551644988499</v>
      </c>
      <c r="F84" s="156">
        <v>81.923920994879296</v>
      </c>
      <c r="G84" s="156">
        <v>85.137631627563295</v>
      </c>
    </row>
    <row r="85" spans="1:7" ht="15">
      <c r="A85" s="154" t="s">
        <v>321</v>
      </c>
      <c r="B85" s="162">
        <v>307.85404799999998</v>
      </c>
      <c r="C85" s="156">
        <v>172.30255839821999</v>
      </c>
      <c r="D85" s="156">
        <v>153.231939163498</v>
      </c>
      <c r="E85" s="156">
        <v>383.81818181818198</v>
      </c>
      <c r="F85" s="156">
        <v>383.21629213483101</v>
      </c>
      <c r="G85" s="156">
        <v>446.70129870129898</v>
      </c>
    </row>
    <row r="86" spans="1:7" ht="15">
      <c r="A86" s="154"/>
      <c r="B86" s="162"/>
      <c r="C86" s="156"/>
      <c r="D86" s="156"/>
      <c r="E86" s="156"/>
      <c r="F86" s="156"/>
      <c r="G86" s="156"/>
    </row>
    <row r="87" spans="1:7" ht="15">
      <c r="A87" s="153" t="s">
        <v>322</v>
      </c>
      <c r="B87" s="153"/>
      <c r="C87" s="153"/>
      <c r="D87" s="153"/>
      <c r="E87" s="153"/>
      <c r="F87" s="153"/>
      <c r="G87" s="153"/>
    </row>
    <row r="88" spans="1:7" ht="15">
      <c r="A88" s="154" t="s">
        <v>323</v>
      </c>
      <c r="B88" s="155">
        <v>-2.8910181399999999</v>
      </c>
      <c r="C88" s="156">
        <v>-1.55411255411255</v>
      </c>
      <c r="D88" s="156">
        <v>-6.1246840775063198</v>
      </c>
      <c r="E88" s="156">
        <v>-2.7906917599186198</v>
      </c>
      <c r="F88" s="156">
        <v>-1.76785426406577</v>
      </c>
      <c r="G88" s="156">
        <v>-2.2177478580171401</v>
      </c>
    </row>
    <row r="89" spans="1:7" ht="15">
      <c r="A89" s="154" t="s">
        <v>324</v>
      </c>
      <c r="B89" s="157"/>
      <c r="C89" s="156">
        <v>-2.1934826883910401</v>
      </c>
      <c r="D89" s="132" t="s">
        <v>97</v>
      </c>
      <c r="E89" s="156">
        <v>-4.2696498054474699</v>
      </c>
      <c r="F89" s="156">
        <v>-2.50823421774931</v>
      </c>
      <c r="G89" s="156">
        <v>-3.20860633964937</v>
      </c>
    </row>
    <row r="90" spans="1:7" ht="15">
      <c r="A90" s="154" t="s">
        <v>325</v>
      </c>
      <c r="B90" s="155">
        <v>0.5015298306</v>
      </c>
      <c r="C90" s="156">
        <v>0.325637325637326</v>
      </c>
      <c r="D90" s="156">
        <v>1.98483572030329</v>
      </c>
      <c r="E90" s="156">
        <v>0.121057985757884</v>
      </c>
      <c r="F90" s="156">
        <v>3.75624697726906E-2</v>
      </c>
      <c r="G90" s="156">
        <v>3.85556915544676E-2</v>
      </c>
    </row>
    <row r="91" spans="1:7" ht="15">
      <c r="A91" s="154" t="s">
        <v>326</v>
      </c>
      <c r="B91" s="162">
        <v>118.1647196</v>
      </c>
      <c r="C91" s="156">
        <v>41.809523809523803</v>
      </c>
      <c r="D91" s="156">
        <v>10.5490196078431</v>
      </c>
      <c r="E91" s="156">
        <v>52.160714285714299</v>
      </c>
      <c r="F91" s="156">
        <v>215.65217391304299</v>
      </c>
      <c r="G91" s="156">
        <v>270.65217391304299</v>
      </c>
    </row>
    <row r="92" spans="1:7" ht="15">
      <c r="A92" s="154" t="s">
        <v>327</v>
      </c>
      <c r="B92" s="162">
        <v>153.580366</v>
      </c>
      <c r="C92" s="156">
        <v>49.5</v>
      </c>
      <c r="D92" s="156">
        <v>23.2745098039216</v>
      </c>
      <c r="E92" s="156">
        <v>70.214285714285694</v>
      </c>
      <c r="F92" s="156">
        <v>269.695652173913</v>
      </c>
      <c r="G92" s="156">
        <v>355.21739130434798</v>
      </c>
    </row>
    <row r="93" spans="1:7" ht="15">
      <c r="A93" s="154" t="s">
        <v>328</v>
      </c>
      <c r="B93" s="162">
        <v>118.1647196</v>
      </c>
      <c r="C93" s="156">
        <v>41.809523809523803</v>
      </c>
      <c r="D93" s="156">
        <v>10.5490196078431</v>
      </c>
      <c r="E93" s="156">
        <v>52.160714285714299</v>
      </c>
      <c r="F93" s="156">
        <v>215.65217391304299</v>
      </c>
      <c r="G93" s="156">
        <v>270.65217391304299</v>
      </c>
    </row>
    <row r="94" spans="1:7" ht="15">
      <c r="A94" s="154" t="s">
        <v>329</v>
      </c>
      <c r="B94" s="162">
        <v>151.0024166</v>
      </c>
      <c r="C94" s="156">
        <v>36.880952380952401</v>
      </c>
      <c r="D94" s="156">
        <v>31.6078431372549</v>
      </c>
      <c r="E94" s="156">
        <v>75.392857142857096</v>
      </c>
      <c r="F94" s="156">
        <v>237.26086956521701</v>
      </c>
      <c r="G94" s="156">
        <v>373.86956521739103</v>
      </c>
    </row>
    <row r="95" spans="1:7" ht="15">
      <c r="A95" s="154" t="s">
        <v>330</v>
      </c>
      <c r="B95" s="155">
        <v>0.39226634560000001</v>
      </c>
      <c r="C95" s="156">
        <v>0.19143819143819099</v>
      </c>
      <c r="D95" s="156">
        <v>1.6773378264532399</v>
      </c>
      <c r="E95" s="156">
        <v>6.0274669379450703E-2</v>
      </c>
      <c r="F95" s="156">
        <v>1.9184265677897799E-2</v>
      </c>
      <c r="G95" s="156">
        <v>1.30966952264382E-2</v>
      </c>
    </row>
    <row r="96" spans="1:7" ht="15">
      <c r="A96" s="154" t="s">
        <v>331</v>
      </c>
      <c r="B96" s="155">
        <v>-2.5760027000000001</v>
      </c>
      <c r="C96" s="156">
        <v>-2.0926165803108798</v>
      </c>
      <c r="D96" s="156">
        <v>-3.45696623870661</v>
      </c>
      <c r="E96" s="156">
        <v>-3.0944726452340698</v>
      </c>
      <c r="F96" s="156">
        <v>-1.9174680888267199</v>
      </c>
      <c r="G96" s="156">
        <v>-2.3184900831733799</v>
      </c>
    </row>
    <row r="97" spans="1:7" ht="15">
      <c r="A97" s="154" t="s">
        <v>332</v>
      </c>
      <c r="B97" s="155">
        <v>0.26117003059999999</v>
      </c>
      <c r="C97" s="156">
        <v>0.25777202072538902</v>
      </c>
      <c r="D97" s="156">
        <v>0.94674274845458894</v>
      </c>
      <c r="E97" s="156">
        <v>6.6835871404399297E-2</v>
      </c>
      <c r="F97" s="156">
        <v>2.0807833537331701E-2</v>
      </c>
      <c r="G97" s="156">
        <v>1.3691618682021799E-2</v>
      </c>
    </row>
    <row r="98" spans="1:7" ht="15">
      <c r="A98" s="154" t="s">
        <v>333</v>
      </c>
      <c r="B98" s="155">
        <v>8.4824902360000003</v>
      </c>
      <c r="C98" s="156">
        <v>1.3929098966026601</v>
      </c>
      <c r="D98" s="156">
        <v>0.16001697792869299</v>
      </c>
      <c r="E98" s="156">
        <v>6.0084033613445396</v>
      </c>
      <c r="F98" s="156">
        <v>15.562231759656701</v>
      </c>
      <c r="G98" s="156">
        <v>19.288888888888899</v>
      </c>
    </row>
    <row r="99" spans="1:7" ht="15">
      <c r="A99" s="154" t="s">
        <v>334</v>
      </c>
      <c r="B99" s="155">
        <v>12.512201188000001</v>
      </c>
      <c r="C99" s="156">
        <v>2.2880354505169902</v>
      </c>
      <c r="D99" s="156">
        <v>0.68421052631578905</v>
      </c>
      <c r="E99" s="156">
        <v>8.8697478991596608</v>
      </c>
      <c r="F99" s="156">
        <v>23.420600858369099</v>
      </c>
      <c r="G99" s="156">
        <v>27.298412698412701</v>
      </c>
    </row>
    <row r="100" spans="1:7" ht="15">
      <c r="A100" s="154"/>
      <c r="B100" s="155"/>
      <c r="C100" s="156"/>
      <c r="D100" s="156"/>
      <c r="E100" s="156"/>
      <c r="F100" s="156"/>
      <c r="G100" s="156"/>
    </row>
    <row r="101" spans="1:7" ht="15">
      <c r="A101" s="153" t="s">
        <v>335</v>
      </c>
      <c r="B101" s="153"/>
      <c r="C101" s="153"/>
      <c r="D101" s="153"/>
      <c r="E101" s="153"/>
      <c r="F101" s="153"/>
      <c r="G101" s="153"/>
    </row>
    <row r="102" spans="1:7" ht="15">
      <c r="A102" s="154" t="s">
        <v>336</v>
      </c>
      <c r="B102" s="155">
        <v>5.4330473440000002</v>
      </c>
      <c r="C102" s="156">
        <v>8.1241069606042107</v>
      </c>
      <c r="D102" s="156">
        <v>16.937473415567801</v>
      </c>
      <c r="E102" s="156">
        <v>1.5319974143503601</v>
      </c>
      <c r="F102" s="156">
        <v>0.32967641843971601</v>
      </c>
      <c r="G102" s="156">
        <v>0.241982902890226</v>
      </c>
    </row>
    <row r="103" spans="1:7" ht="15">
      <c r="A103" s="154" t="s">
        <v>337</v>
      </c>
      <c r="B103" s="155">
        <v>4.6602784719999999</v>
      </c>
      <c r="C103" s="156">
        <v>7.1377331420373</v>
      </c>
      <c r="D103" s="156">
        <v>14.1095599177946</v>
      </c>
      <c r="E103" s="156">
        <v>1.4862661482503401</v>
      </c>
      <c r="F103" s="156">
        <v>0.327562002807674</v>
      </c>
      <c r="G103" s="156">
        <v>0.240271259515416</v>
      </c>
    </row>
    <row r="104" spans="1:7" ht="15">
      <c r="A104" s="154" t="s">
        <v>338</v>
      </c>
      <c r="B104" s="155">
        <v>4.2612874559999998</v>
      </c>
      <c r="C104" s="156">
        <v>6.28652661506871</v>
      </c>
      <c r="D104" s="156">
        <v>13.1828113619811</v>
      </c>
      <c r="E104" s="156">
        <v>1.3243922883487</v>
      </c>
      <c r="F104" s="156">
        <v>0.296137766275134</v>
      </c>
      <c r="G104" s="156">
        <v>0.216568502438926</v>
      </c>
    </row>
    <row r="105" spans="1:7" ht="15">
      <c r="A105" s="154" t="s">
        <v>339</v>
      </c>
      <c r="B105" s="155">
        <v>6.0340636600000002</v>
      </c>
      <c r="C105" s="156">
        <v>10.6934133628179</v>
      </c>
      <c r="D105" s="156">
        <v>15.5995497583262</v>
      </c>
      <c r="E105" s="156">
        <v>2.65996088292819</v>
      </c>
      <c r="F105" s="156">
        <v>0.57983276926139804</v>
      </c>
      <c r="G105" s="156">
        <v>0.63756147914263195</v>
      </c>
    </row>
    <row r="106" spans="1:7" ht="15">
      <c r="A106" s="154" t="s">
        <v>340</v>
      </c>
      <c r="B106" s="155">
        <v>-54.017141199999998</v>
      </c>
      <c r="C106" s="156">
        <v>-65.952235150030603</v>
      </c>
      <c r="D106" s="156">
        <v>-61.846022968949399</v>
      </c>
      <c r="E106" s="156">
        <v>-70.930833872010297</v>
      </c>
      <c r="F106" s="156">
        <v>-30.380097517730501</v>
      </c>
      <c r="G106" s="156">
        <v>-40.976525396897202</v>
      </c>
    </row>
    <row r="107" spans="1:7" ht="15">
      <c r="A107" s="154" t="s">
        <v>341</v>
      </c>
      <c r="B107" s="155">
        <v>7.6592973200000003</v>
      </c>
      <c r="C107" s="156">
        <v>13.819146764645801</v>
      </c>
      <c r="D107" s="156">
        <v>20.0425350914504</v>
      </c>
      <c r="E107" s="156">
        <v>3.0769230769230802</v>
      </c>
      <c r="F107" s="156">
        <v>0.64550088652482296</v>
      </c>
      <c r="G107" s="156">
        <v>0.71237957392916895</v>
      </c>
    </row>
    <row r="108" spans="1:7" ht="15">
      <c r="A108" s="154" t="s">
        <v>342</v>
      </c>
      <c r="B108" s="155">
        <v>-49.830055999999999</v>
      </c>
      <c r="C108" s="156">
        <v>-57.944763271162103</v>
      </c>
      <c r="D108" s="156">
        <v>-51.520090709375701</v>
      </c>
      <c r="E108" s="156">
        <v>-68.813495547472698</v>
      </c>
      <c r="F108" s="156">
        <v>-30.185251452008</v>
      </c>
      <c r="G108" s="156">
        <v>-40.686681786540298</v>
      </c>
    </row>
    <row r="109" spans="1:7" ht="15">
      <c r="A109" s="154" t="s">
        <v>343</v>
      </c>
      <c r="B109" s="155">
        <v>6.634258</v>
      </c>
      <c r="C109" s="156">
        <v>12.141319942611201</v>
      </c>
      <c r="D109" s="156">
        <v>16.696194458224099</v>
      </c>
      <c r="E109" s="156">
        <v>2.98507462686567</v>
      </c>
      <c r="F109" s="156">
        <v>0.64136089625368198</v>
      </c>
      <c r="G109" s="156">
        <v>0.70734062380706397</v>
      </c>
    </row>
  </sheetData>
  <mergeCells count="10">
    <mergeCell ref="A74:G74"/>
    <mergeCell ref="A80:G80"/>
    <mergeCell ref="A87:G87"/>
    <mergeCell ref="A101:G101"/>
    <mergeCell ref="A8:G8"/>
    <mergeCell ref="A21:G21"/>
    <mergeCell ref="A33:G33"/>
    <mergeCell ref="A45:G45"/>
    <mergeCell ref="A52:G52"/>
    <mergeCell ref="A65:G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Sheet</vt:lpstr>
      <vt:lpstr>FB Income Statement </vt:lpstr>
      <vt:lpstr>Valuation</vt:lpstr>
      <vt:lpstr>DCF</vt:lpstr>
      <vt:lpstr>IS FCST DATA</vt:lpstr>
      <vt:lpstr>CF FCST DATA</vt:lpstr>
      <vt:lpstr>USE OF CASH FCST DATA</vt:lpstr>
      <vt:lpstr>Ratio Analysis</vt:lpstr>
    </vt:vector>
  </TitlesOfParts>
  <Company>Bank of America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Sheehan</dc:creator>
  <cp:keywords/>
  <cp:lastModifiedBy>Robert Sheehan</cp:lastModifiedBy>
  <dcterms:created xsi:type="dcterms:W3CDTF">2016-04-15T14:28:44Z</dcterms:created>
  <dcterms:modified xsi:type="dcterms:W3CDTF">2016-04-19T20:13:32Z</dcterms:modified>
</cp:coreProperties>
</file>